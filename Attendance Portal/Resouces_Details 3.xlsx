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vimit\Downloads\"/>
    </mc:Choice>
  </mc:AlternateContent>
  <xr:revisionPtr revIDLastSave="0" documentId="13_ncr:1_{C91A4483-3869-44BF-8DA7-9F1CCA364E4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1" state="hidden" r:id="rId1"/>
    <sheet name="PublicCloudResourceList" sheetId="2" r:id="rId2"/>
    <sheet name="Sheet2" sheetId="4" r:id="rId3"/>
    <sheet name="Deleted List" sheetId="3" r:id="rId4"/>
  </sheets>
  <definedNames>
    <definedName name="_xlnm._FilterDatabase" localSheetId="1" hidden="1">PublicCloudResourceList!$A$1:$G$117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</calcChain>
</file>

<file path=xl/sharedStrings.xml><?xml version="1.0" encoding="utf-8"?>
<sst xmlns="http://schemas.openxmlformats.org/spreadsheetml/2006/main" count="627" uniqueCount="294">
  <si>
    <t>Row Labels</t>
  </si>
  <si>
    <t>Count of Full Name</t>
  </si>
  <si>
    <t>AWS Platform Engineering Internal Demands</t>
  </si>
  <si>
    <t>AWS Platform Engineering Project Demands</t>
  </si>
  <si>
    <t>AWS Platform Engineering Nore</t>
  </si>
  <si>
    <t>Grand Total</t>
  </si>
  <si>
    <t>Full Name</t>
  </si>
  <si>
    <t>521 ID</t>
  </si>
  <si>
    <t>Point of Contact</t>
  </si>
  <si>
    <t>Team</t>
  </si>
  <si>
    <t>Start Date</t>
  </si>
  <si>
    <t>End Date</t>
  </si>
  <si>
    <t>Billability</t>
  </si>
  <si>
    <t>Aashish Raut</t>
  </si>
  <si>
    <t>RAUTAA1</t>
  </si>
  <si>
    <t>Jonnalagadda Srihari</t>
  </si>
  <si>
    <t>Billable</t>
  </si>
  <si>
    <t>Non-Billable</t>
  </si>
  <si>
    <t>Anusha Kandhee</t>
  </si>
  <si>
    <t>KHANDAN1</t>
  </si>
  <si>
    <t>Arepalli Gayathri</t>
  </si>
  <si>
    <t>GAYATAR1</t>
  </si>
  <si>
    <t>Ashish Mittal</t>
  </si>
  <si>
    <t>MITTAAS4</t>
  </si>
  <si>
    <t>Balaji Rajendran</t>
  </si>
  <si>
    <t>RAJENBA2</t>
  </si>
  <si>
    <t>Busigari Surya Prasanth Reddy</t>
  </si>
  <si>
    <t>BUSIGSU1</t>
  </si>
  <si>
    <t>C Kalyan Kumar</t>
  </si>
  <si>
    <t>CKA3</t>
  </si>
  <si>
    <t>Chaitanya Latha Kolluru</t>
  </si>
  <si>
    <t>KOLLUCH4</t>
  </si>
  <si>
    <t>Charitha Siva Venkata Kanuri</t>
  </si>
  <si>
    <t>SIVAVCH2</t>
  </si>
  <si>
    <t>DEEPA KESA</t>
  </si>
  <si>
    <t>KESADE1</t>
  </si>
  <si>
    <t>Devaraj Maniyamghat Damodharan</t>
  </si>
  <si>
    <t>DAMODDE2</t>
  </si>
  <si>
    <t>Dilish Madduri</t>
  </si>
  <si>
    <t>MADDUDI2</t>
  </si>
  <si>
    <t>DODDARE1</t>
  </si>
  <si>
    <t>Dokka SVS Swamy</t>
  </si>
  <si>
    <t>SWAMYDO2</t>
  </si>
  <si>
    <t>E Naga Sudha Rani</t>
  </si>
  <si>
    <t>EDENA3</t>
  </si>
  <si>
    <t>Elango Chinnaiya</t>
  </si>
  <si>
    <t>CHINNEL2</t>
  </si>
  <si>
    <t>Ganesh Baliram Sultane</t>
  </si>
  <si>
    <t>SULTAGA2</t>
  </si>
  <si>
    <t>PRASAGA5</t>
  </si>
  <si>
    <t>Hakeem Naseer Ahmed</t>
  </si>
  <si>
    <t>AHMEDNAQ</t>
  </si>
  <si>
    <t>Hariharan K R</t>
  </si>
  <si>
    <t>KRHA1</t>
  </si>
  <si>
    <t>Hema Bharathi Janapaneni</t>
  </si>
  <si>
    <t>JANAPHE1</t>
  </si>
  <si>
    <t>Jashva Sabbu</t>
  </si>
  <si>
    <t>SABBUJA1</t>
  </si>
  <si>
    <t>Jawahar Jyoti Goswami</t>
  </si>
  <si>
    <t>GOSWAJA2</t>
  </si>
  <si>
    <t>Jogiraju Sirisipalli</t>
  </si>
  <si>
    <t>SIRISJO1</t>
  </si>
  <si>
    <t>K Tharun Kumar</t>
  </si>
  <si>
    <t>KTH6</t>
  </si>
  <si>
    <t>Kapil Kumar Yadav</t>
  </si>
  <si>
    <t>YADAVKA3</t>
  </si>
  <si>
    <t>Karthik Prakash</t>
  </si>
  <si>
    <t>PRAKAKA4</t>
  </si>
  <si>
    <t>Keshava J R</t>
  </si>
  <si>
    <t>JRKE1</t>
  </si>
  <si>
    <t>KOMANSU1</t>
  </si>
  <si>
    <t>Manoj Kumar Karoju</t>
  </si>
  <si>
    <t>KAROJMA1</t>
  </si>
  <si>
    <t>Kishore Rohera</t>
  </si>
  <si>
    <t>Azure TDE</t>
  </si>
  <si>
    <t>Mohammed Mohsin Ali</t>
  </si>
  <si>
    <t>ALIMO1I</t>
  </si>
  <si>
    <t>Mr. Konanki Naga Sreehari</t>
  </si>
  <si>
    <t>KONANSR1</t>
  </si>
  <si>
    <t>CHAVANE2</t>
  </si>
  <si>
    <t>RAYIDPR1</t>
  </si>
  <si>
    <t>Mr. Vinit Naik</t>
  </si>
  <si>
    <t>NAIKVI9</t>
  </si>
  <si>
    <t>Ms. Chaytali Gajarmal</t>
  </si>
  <si>
    <t>GAJARCH1</t>
  </si>
  <si>
    <t>Mubarak Amin Mujawar</t>
  </si>
  <si>
    <t>MUJAWMU2</t>
  </si>
  <si>
    <t>Mukesh Kumar Manjhi</t>
  </si>
  <si>
    <t>MANJHMU1</t>
  </si>
  <si>
    <t>Nandini AM</t>
  </si>
  <si>
    <t>MNAG</t>
  </si>
  <si>
    <t>Naresh Kumar</t>
  </si>
  <si>
    <t>KUMARN5N</t>
  </si>
  <si>
    <t>Neeraj Singh Sisodia</t>
  </si>
  <si>
    <t>NEERASI1</t>
  </si>
  <si>
    <t>Neha Shridhar Gundkal</t>
  </si>
  <si>
    <t>GUNDKNE1</t>
  </si>
  <si>
    <t>Nikita Jain</t>
  </si>
  <si>
    <t>JAINNI1G</t>
  </si>
  <si>
    <t>P Sunil Kumar</t>
  </si>
  <si>
    <t>KUMARSJZ</t>
  </si>
  <si>
    <t>Panakam Divya</t>
  </si>
  <si>
    <t>PANAKDI1</t>
  </si>
  <si>
    <t>Pranav Vinay Kunkerkar</t>
  </si>
  <si>
    <t>KUNKEPR1</t>
  </si>
  <si>
    <t>Pravallika Rallapalli</t>
  </si>
  <si>
    <t>RALLAPR3</t>
  </si>
  <si>
    <t>Prem Prakash</t>
  </si>
  <si>
    <t>PRAKAPRD</t>
  </si>
  <si>
    <t>Premchander Jebastian</t>
  </si>
  <si>
    <t>CHANDP1D</t>
  </si>
  <si>
    <t>Radha Kanaka Ratnam Tetali</t>
  </si>
  <si>
    <t>TETALRA1</t>
  </si>
  <si>
    <t>Rajesh Boyapally</t>
  </si>
  <si>
    <t>BOYAPRA1</t>
  </si>
  <si>
    <t>Ram Mohan Gudipadu</t>
  </si>
  <si>
    <t>RAMMOGU1</t>
  </si>
  <si>
    <t>Ravali Patkur</t>
  </si>
  <si>
    <t>PATKURA1</t>
  </si>
  <si>
    <t>Ravi Kiran Deyyala</t>
  </si>
  <si>
    <t>DEYYARA2</t>
  </si>
  <si>
    <t>Shashank Gupta</t>
  </si>
  <si>
    <t>GUPTAS4N</t>
  </si>
  <si>
    <t>Siva Sagar Mavuduri</t>
  </si>
  <si>
    <t>MAVUDSI1</t>
  </si>
  <si>
    <t>Siva Sai Reddy Chilukala</t>
  </si>
  <si>
    <t>CHILUSI1</t>
  </si>
  <si>
    <t>Sridhar Achary Nagavelli</t>
  </si>
  <si>
    <t>NAGAVSR1</t>
  </si>
  <si>
    <t>Srikanth Thirumalagiri</t>
  </si>
  <si>
    <t>THIRUSR5</t>
  </si>
  <si>
    <t>Suganesh Nageshwaran V</t>
  </si>
  <si>
    <t>NAGESSU2</t>
  </si>
  <si>
    <t>Sumitra Bhagirathi Dalai</t>
  </si>
  <si>
    <t>DALAISU1</t>
  </si>
  <si>
    <t>Suresh Kumar Raajendiran</t>
  </si>
  <si>
    <t>RAAJESU1</t>
  </si>
  <si>
    <t>Tanuj Rama Krishnan V</t>
  </si>
  <si>
    <t>KRISHTA4</t>
  </si>
  <si>
    <t>THIMMPR1</t>
  </si>
  <si>
    <t>Vamshi Venkat Rajesh Machiraju</t>
  </si>
  <si>
    <t>MACHIVA3</t>
  </si>
  <si>
    <t>Venkataramana Budisetti</t>
  </si>
  <si>
    <t>BUDISVE1</t>
  </si>
  <si>
    <t>Venu Madhav Reddy</t>
  </si>
  <si>
    <t>CHILUVE3</t>
  </si>
  <si>
    <t>Vignesh Ponraj</t>
  </si>
  <si>
    <t>PVI6</t>
  </si>
  <si>
    <t>Vikram Sanugula</t>
  </si>
  <si>
    <t>SANUGVI1</t>
  </si>
  <si>
    <t>Vimit Vimit</t>
  </si>
  <si>
    <t>VIMITVI1</t>
  </si>
  <si>
    <t>Vysyaraju Prudhviraju</t>
  </si>
  <si>
    <t>VYSYAPR1</t>
  </si>
  <si>
    <t>Amrendra Kumar</t>
  </si>
  <si>
    <t>KUMARA9T</t>
  </si>
  <si>
    <t>Nilotpal Das</t>
  </si>
  <si>
    <t>AWS TDE</t>
  </si>
  <si>
    <t>CHANDS1E</t>
  </si>
  <si>
    <t>Mr. Varun Gollapalli</t>
  </si>
  <si>
    <t>GOLLAVA4</t>
  </si>
  <si>
    <t>Prashant Shah</t>
  </si>
  <si>
    <t>KUMARAEL</t>
  </si>
  <si>
    <t>Vasanthkumar S R</t>
  </si>
  <si>
    <t>SRVA3</t>
  </si>
  <si>
    <t>KDI5</t>
  </si>
  <si>
    <t>Rani Gangishetti</t>
  </si>
  <si>
    <t>GANGIRA3</t>
  </si>
  <si>
    <t>REDDYKAU</t>
  </si>
  <si>
    <t>Aravind Chintalapudi</t>
  </si>
  <si>
    <t>CHINTAR3</t>
  </si>
  <si>
    <t>Adi Jaya Lakshmi</t>
  </si>
  <si>
    <t>JAYALAD1</t>
  </si>
  <si>
    <t>Vaishnavi Mudda</t>
  </si>
  <si>
    <t>VAISHMU2</t>
  </si>
  <si>
    <t>Reshma Golla</t>
  </si>
  <si>
    <t>GOLLARE4</t>
  </si>
  <si>
    <t>VADDACH1</t>
  </si>
  <si>
    <t>MANDRKI1</t>
  </si>
  <si>
    <t>Gupta, Akhil</t>
  </si>
  <si>
    <t>Sveta Satish Shenoy</t>
  </si>
  <si>
    <t>Rakesh Muthu Kalimuthu</t>
  </si>
  <si>
    <t>Sheik Ali Edirush</t>
  </si>
  <si>
    <t>Ravi Kant Singh</t>
  </si>
  <si>
    <t>Bhuvanesh Kumar K R S</t>
  </si>
  <si>
    <t>Jitesh Raikwar</t>
  </si>
  <si>
    <t>Jyotirmaya Das</t>
  </si>
  <si>
    <t>John Milton Nirmal Raj</t>
  </si>
  <si>
    <t>Varinder Sharma</t>
  </si>
  <si>
    <t>SecOps</t>
  </si>
  <si>
    <t>KALIMRA1</t>
  </si>
  <si>
    <t>EDIRUSH1</t>
  </si>
  <si>
    <t>RAIKWJI1</t>
  </si>
  <si>
    <t>SINGHR4S</t>
  </si>
  <si>
    <t>Maruthi Peddireddy</t>
  </si>
  <si>
    <t>Service Delivery Expert</t>
  </si>
  <si>
    <t>KRSBH1</t>
  </si>
  <si>
    <t>DASJY4</t>
  </si>
  <si>
    <t>Vivek Jain</t>
  </si>
  <si>
    <t>NIRMAJO1</t>
  </si>
  <si>
    <t>GUPTAAKB</t>
  </si>
  <si>
    <t>SHENOSV1</t>
  </si>
  <si>
    <t>Networking Program Manager</t>
  </si>
  <si>
    <t>AWS SDE</t>
  </si>
  <si>
    <t>Mrs. Tripti Jain</t>
  </si>
  <si>
    <t>Nagesh Rudraiah</t>
  </si>
  <si>
    <t>RUDRANA4</t>
  </si>
  <si>
    <t>JAINTR5</t>
  </si>
  <si>
    <t>Data Analytics</t>
  </si>
  <si>
    <t>Chandana Charita Vaddadi</t>
  </si>
  <si>
    <t>Varsha Gruddanti</t>
  </si>
  <si>
    <t>RAMARAN1</t>
  </si>
  <si>
    <t>PRABACH1</t>
  </si>
  <si>
    <t>GRUDDVA1</t>
  </si>
  <si>
    <t>Anjaneya Rama Raju</t>
  </si>
  <si>
    <t>Chaitanya Prabandham S</t>
  </si>
  <si>
    <t>Gouthami Basangari</t>
  </si>
  <si>
    <t>Saiteja Reddy Gaddam</t>
  </si>
  <si>
    <t>Arvind Kumar Tiwari</t>
  </si>
  <si>
    <t>Domala Karteek</t>
  </si>
  <si>
    <t>Thejovathi Vemani</t>
  </si>
  <si>
    <t>PRASALA8</t>
  </si>
  <si>
    <t>GADDASA7</t>
  </si>
  <si>
    <t>TIWARAR8</t>
  </si>
  <si>
    <t>DOMALKA1</t>
  </si>
  <si>
    <t>VEMANTH1</t>
  </si>
  <si>
    <t>RGOA</t>
  </si>
  <si>
    <t>BASANGO1</t>
  </si>
  <si>
    <t>SREERSA5</t>
  </si>
  <si>
    <t>Gowthami R</t>
  </si>
  <si>
    <t>Sandeep Sree Ram</t>
  </si>
  <si>
    <t>Sukesh Jadow</t>
  </si>
  <si>
    <t>Surendra Vasireddy</t>
  </si>
  <si>
    <t>Rakesh Shyamala</t>
  </si>
  <si>
    <t>Narendera Karnati</t>
  </si>
  <si>
    <t>Savitha Puttuluri</t>
  </si>
  <si>
    <t>VASIRSU3</t>
  </si>
  <si>
    <t>BODDAAD1</t>
  </si>
  <si>
    <t>SHYAMRA8</t>
  </si>
  <si>
    <t>POTHARA4</t>
  </si>
  <si>
    <t>KARNANA2</t>
  </si>
  <si>
    <t>PUTTUSA2</t>
  </si>
  <si>
    <t>MALLARA7</t>
  </si>
  <si>
    <t>Potham Rachana</t>
  </si>
  <si>
    <t>Ravi Teja Malladi</t>
  </si>
  <si>
    <t>Lakshmi Prasanna Angadi</t>
  </si>
  <si>
    <t>Anusha Mulinti</t>
  </si>
  <si>
    <t>MANGAVE2</t>
  </si>
  <si>
    <t>MULINAN1</t>
  </si>
  <si>
    <t>Mangali Venkatesham</t>
  </si>
  <si>
    <t>Adiseshaiah boddapati</t>
  </si>
  <si>
    <t>Divya K</t>
  </si>
  <si>
    <t>Kiran M</t>
  </si>
  <si>
    <t>TAMMAN1</t>
  </si>
  <si>
    <t>RAVIMO1</t>
  </si>
  <si>
    <t>Monicka Ravi</t>
  </si>
  <si>
    <t>Sai Krishna Nallela</t>
  </si>
  <si>
    <t>NELLESA1</t>
  </si>
  <si>
    <t>Vishaldeep Joshi</t>
  </si>
  <si>
    <t>JOSHIVIP</t>
  </si>
  <si>
    <t>GUNDLTR1</t>
  </si>
  <si>
    <t>KUMARSVT</t>
  </si>
  <si>
    <t>Tri Mukesh Gundlapally</t>
  </si>
  <si>
    <t>Sathish Kumar</t>
  </si>
  <si>
    <t>Sarathchandra Bhaskara</t>
  </si>
  <si>
    <t>Aswin Kumar S S</t>
  </si>
  <si>
    <t>Rethvik Sai Doddapaneni</t>
  </si>
  <si>
    <t>Prasanthi Gavini</t>
  </si>
  <si>
    <t>Suneel Kumar Komandla</t>
  </si>
  <si>
    <t>Mr. Praveen Rayidi</t>
  </si>
  <si>
    <t>PRANAY THIMMAIAHGARI</t>
  </si>
  <si>
    <t>Anil T</t>
  </si>
  <si>
    <t>Mr. Neeraj S Chavan</t>
  </si>
  <si>
    <t>Tanuj Rama krishnan V</t>
  </si>
  <si>
    <t>Assath Mohammed</t>
  </si>
  <si>
    <t>Indukuri Anjaneya Shiva Rama Raju</t>
  </si>
  <si>
    <t>MOHAMASJ</t>
  </si>
  <si>
    <t>Deepa Kesa</t>
  </si>
  <si>
    <t>Goutham Reddy Katukuri</t>
  </si>
  <si>
    <t>Monicka R</t>
  </si>
  <si>
    <t>E Naga Sudha rani</t>
  </si>
  <si>
    <t>Internal</t>
  </si>
  <si>
    <t>Usha Nenavath</t>
  </si>
  <si>
    <t>Bindhu Madhavi</t>
  </si>
  <si>
    <t>RAVULSR7</t>
  </si>
  <si>
    <t>PBH6</t>
  </si>
  <si>
    <t>YANDASA5</t>
  </si>
  <si>
    <t>NENAVUS1</t>
  </si>
  <si>
    <t>MADHABI1</t>
  </si>
  <si>
    <t>GAUTHNA2</t>
  </si>
  <si>
    <t>NAGA GAUTHAM OGGU</t>
  </si>
  <si>
    <t>sairaj Yandamuri</t>
  </si>
  <si>
    <t>Bharath. P</t>
  </si>
  <si>
    <t>Ravulapalli Sravanthi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</si>
</sst>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ptos"/>
      <family val="2"/>
    </font>
    <font>
      <sz val="11"/>
      <color theme="1"/>
      <name val="Aptos"/>
      <family val="2"/>
    </font>
    <font>
      <sz val="9"/>
      <color theme="1"/>
      <name val="Aptos"/>
      <family val="2"/>
    </font>
    <font>
      <sz val="9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E284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1"/>
    <xf numFmtId="0" fontId="3" fillId="0" borderId="1"/>
    <xf numFmtId="0" fontId="3" fillId="0" borderId="1"/>
  </cellStyleXfs>
  <cellXfs count="2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4" fillId="0" borderId="2" xfId="2" applyFont="1" applyBorder="1" applyAlignment="1">
      <alignment vertical="top"/>
    </xf>
    <xf numFmtId="0" fontId="4" fillId="0" borderId="2" xfId="3" applyFont="1" applyBorder="1" applyAlignment="1">
      <alignment vertical="top"/>
    </xf>
    <xf numFmtId="0" fontId="1" fillId="2" borderId="3" xfId="0" applyFont="1" applyFill="1" applyBorder="1" applyAlignment="1">
      <alignment horizontal="left"/>
    </xf>
    <xf numFmtId="0" fontId="5" fillId="0" borderId="0" xfId="0" applyFont="1"/>
    <xf numFmtId="0" fontId="6" fillId="0" borderId="2" xfId="0" applyFont="1" applyBorder="1"/>
    <xf numFmtId="0" fontId="1" fillId="2" borderId="4" xfId="0" applyFont="1" applyFill="1" applyBorder="1" applyAlignment="1">
      <alignment horizontal="left"/>
    </xf>
    <xf numFmtId="14" fontId="1" fillId="2" borderId="4" xfId="0" applyNumberFormat="1" applyFont="1" applyFill="1" applyBorder="1" applyAlignment="1">
      <alignment horizontal="left"/>
    </xf>
    <xf numFmtId="0" fontId="4" fillId="0" borderId="2" xfId="0" applyFont="1" applyBorder="1"/>
    <xf numFmtId="14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/>
    <xf numFmtId="0" fontId="0" fillId="0" borderId="2" xfId="0" applyBorder="1"/>
    <xf numFmtId="0" fontId="5" fillId="0" borderId="2" xfId="0" applyFont="1" applyBorder="1"/>
    <xf numFmtId="14" fontId="5" fillId="0" borderId="2" xfId="0" applyNumberFormat="1" applyFont="1" applyBorder="1" applyAlignment="1">
      <alignment horizontal="left"/>
    </xf>
    <xf numFmtId="0" fontId="7" fillId="0" borderId="2" xfId="0" applyFont="1" applyBorder="1"/>
    <xf numFmtId="14" fontId="0" fillId="0" borderId="2" xfId="0" applyNumberFormat="1" applyBorder="1" applyAlignment="1">
      <alignment horizontal="left"/>
    </xf>
    <xf numFmtId="0" fontId="6" fillId="0" borderId="3" xfId="0" applyFont="1" applyBorder="1"/>
    <xf numFmtId="14" fontId="7" fillId="0" borderId="2" xfId="0" applyNumberFormat="1" applyFont="1" applyBorder="1" applyAlignment="1">
      <alignment horizontal="left"/>
    </xf>
    <xf numFmtId="0" fontId="7" fillId="3" borderId="2" xfId="0" applyFont="1" applyFill="1" applyBorder="1"/>
    <xf numFmtId="0" fontId="4" fillId="3" borderId="2" xfId="2" applyFont="1" applyFill="1" applyBorder="1" applyAlignment="1">
      <alignment vertical="top"/>
    </xf>
  </cellXfs>
  <cellStyles count="4">
    <cellStyle name="Normal" xfId="0" builtinId="0"/>
    <cellStyle name="Normal 2" xfId="1" xr:uid="{5B6C687D-90A3-49CF-B56C-23A26CC58323}"/>
    <cellStyle name="Normal 3" xfId="2" xr:uid="{54AF09C0-5F4F-4880-B5E0-6F1A57521A0F}"/>
    <cellStyle name="Normal 4" xfId="3" xr:uid="{ADA8BD3F-07EC-48B3-BAA5-8BE0347EFA0F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Resouces_Detail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u Madhav Reddy Chilukala" refreshedDate="45729.060692824074" createdVersion="8" refreshedVersion="8" minRefreshableVersion="3" recordCount="78" xr:uid="{B643F01B-8559-4FB8-86D9-D8A783882030}">
  <cacheSource type="worksheet">
    <worksheetSource ref="A4:F4" sheet="PublicCloudResourceList" r:id="rId2"/>
  </cacheSource>
  <cacheFields count="6">
    <cacheField name="Full Name" numFmtId="0">
      <sharedItems containsBlank="1"/>
    </cacheField>
    <cacheField name="521 ID" numFmtId="0">
      <sharedItems containsBlank="1"/>
    </cacheField>
    <cacheField name="Point of Contact" numFmtId="0">
      <sharedItems containsBlank="1"/>
    </cacheField>
    <cacheField name="Team" numFmtId="0">
      <sharedItems containsBlank="1" count="4">
        <s v="AWS Platform Engineering Internal Demands"/>
        <s v="AWS Platform Engineering Project Demands"/>
        <s v="AWS Platform Engineering Nore"/>
        <m/>
      </sharedItems>
    </cacheField>
    <cacheField name="Start Date" numFmtId="0">
      <sharedItems containsNonDate="0" containsDate="1" containsString="0" containsBlank="1" minDate="2024-09-18T00:00:00" maxDate="2025-01-22T00:00:00"/>
    </cacheField>
    <cacheField name="End Date" numFmtId="14">
      <sharedItems containsNonDate="0" containsDate="1" containsString="0" containsBlank="1" minDate="2025-01-14T00:00:00" maxDate="2025-02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Aashish Raut"/>
    <s v="RAUTAA1"/>
    <s v="Jonnalagadda Srihari"/>
    <x v="0"/>
    <m/>
    <m/>
  </r>
  <r>
    <s v="Anburaj C"/>
    <s v="CAN3"/>
    <s v="Jonnalagadda Srihari"/>
    <x v="1"/>
    <m/>
    <d v="2025-02-07T00:00:00"/>
  </r>
  <r>
    <s v="Arepalli Gayathri"/>
    <s v="GAYATAR1"/>
    <s v="Jonnalagadda Srihari"/>
    <x v="1"/>
    <m/>
    <m/>
  </r>
  <r>
    <s v="Ashish Mittal"/>
    <s v="MITTAAS4"/>
    <s v="Jonnalagadda Srihari"/>
    <x v="0"/>
    <m/>
    <m/>
  </r>
  <r>
    <s v="Balaji Rajendran"/>
    <s v="RAJENBA2"/>
    <s v="Jonnalagadda Srihari"/>
    <x v="1"/>
    <m/>
    <m/>
  </r>
  <r>
    <s v="Chaitanya Latha Kolluru"/>
    <s v="KOLLUCH4"/>
    <s v="Jonnalagadda Srihari"/>
    <x v="1"/>
    <m/>
    <m/>
  </r>
  <r>
    <s v="Charitha Siva Venkata Kanuri"/>
    <s v="SIVAVCH2"/>
    <s v="Jonnalagadda Srihari"/>
    <x v="1"/>
    <m/>
    <m/>
  </r>
  <r>
    <s v="Chaytali Gajarmal"/>
    <s v="GAJARCH1"/>
    <s v="Jonnalagadda Srihari"/>
    <x v="2"/>
    <m/>
    <m/>
  </r>
  <r>
    <s v="DEEPA KESA"/>
    <s v="KESADE1"/>
    <s v="Jonnalagadda Srihari"/>
    <x v="0"/>
    <m/>
    <m/>
  </r>
  <r>
    <s v="Devaraj Maniyamghat Damodharan"/>
    <s v="DAMODDE2"/>
    <s v="Jonnalagadda Srihari"/>
    <x v="1"/>
    <m/>
    <m/>
  </r>
  <r>
    <s v="Dilish Madduri"/>
    <s v="MADDUDI2"/>
    <s v="Jonnalagadda Srihari"/>
    <x v="1"/>
    <m/>
    <m/>
  </r>
  <r>
    <s v="Panakam Divya"/>
    <s v="PANAKDI1"/>
    <s v="Jonnalagadda Srihari"/>
    <x v="0"/>
    <m/>
    <m/>
  </r>
  <r>
    <s v="Dokka SVS Swamy"/>
    <s v="SWAMYDO2"/>
    <s v="Jonnalagadda Srihari"/>
    <x v="0"/>
    <m/>
    <m/>
  </r>
  <r>
    <s v="Elango Chinnaiya"/>
    <s v="CHINNEL2"/>
    <s v="Jonnalagadda Srihari"/>
    <x v="1"/>
    <m/>
    <m/>
  </r>
  <r>
    <s v="Ganesh Baliram Sultane"/>
    <s v="SULTAGA2"/>
    <s v="Jonnalagadda Srihari"/>
    <x v="0"/>
    <m/>
    <m/>
  </r>
  <r>
    <s v="Ram Mohan Gudipadu"/>
    <s v="RAMMOGU1"/>
    <s v="Jonnalagadda Srihari"/>
    <x v="0"/>
    <m/>
    <m/>
  </r>
  <r>
    <s v="Hariharan K R"/>
    <s v="KRHA1"/>
    <s v="Jonnalagadda Srihari"/>
    <x v="0"/>
    <m/>
    <m/>
  </r>
  <r>
    <s v="Jashva Sabbu"/>
    <s v="SABBUJA1"/>
    <s v="Jonnalagadda Srihari"/>
    <x v="2"/>
    <m/>
    <m/>
  </r>
  <r>
    <s v="Jawahar Jyoti Goswami"/>
    <s v="GOSWAJA2"/>
    <s v="Jonnalagadda Srihari"/>
    <x v="1"/>
    <m/>
    <m/>
  </r>
  <r>
    <s v="Jogiraju Sirisipalli"/>
    <s v="GOSWAJA2"/>
    <s v="Jonnalagadda Srihari"/>
    <x v="1"/>
    <d v="2025-01-10T00:00:00"/>
    <m/>
  </r>
  <r>
    <s v="Mrs. Jyothi Madamanchi"/>
    <s v="MADAMJY1"/>
    <s v="Jonnalagadda Srihari"/>
    <x v="1"/>
    <m/>
    <m/>
  </r>
  <r>
    <s v="C Kalyan Kumar"/>
    <s v="CKA3"/>
    <s v="Jonnalagadda Srihari"/>
    <x v="0"/>
    <m/>
    <m/>
  </r>
  <r>
    <s v="Kapil Kumar Yadav"/>
    <s v="YADAVKA3"/>
    <s v="Jonnalagadda Srihari"/>
    <x v="1"/>
    <m/>
    <m/>
  </r>
  <r>
    <s v="Karthik Prakash"/>
    <s v="YADAVKA3"/>
    <s v="Jonnalagadda Srihari"/>
    <x v="1"/>
    <d v="2025-01-17T00:00:00"/>
    <m/>
  </r>
  <r>
    <s v="Keshava J R"/>
    <s v="JRKE1"/>
    <s v="Jonnalagadda Srihari"/>
    <x v="1"/>
    <m/>
    <m/>
  </r>
  <r>
    <s v="Penty Kishore"/>
    <s v="PENTYKI1"/>
    <s v="Jonnalagadda Srihari"/>
    <x v="1"/>
    <m/>
    <m/>
  </r>
  <r>
    <s v="Gade Krishna Kanth"/>
    <s v="GADEKR2"/>
    <s v="Jonnalagadda Srihari"/>
    <x v="1"/>
    <m/>
    <m/>
  </r>
  <r>
    <s v="Manoj Kumar Karoju"/>
    <s v="KAROJMA1"/>
    <s v="Jonnalagadda Srihari"/>
    <x v="1"/>
    <m/>
    <m/>
  </r>
  <r>
    <s v="Mohammed Abdul Quader Qureshi"/>
    <s v="QURESMO5"/>
    <s v="Jonnalagadda Srihari"/>
    <x v="1"/>
    <m/>
    <m/>
  </r>
  <r>
    <s v="Mubarak Amin Mujawar"/>
    <s v="MUJAWMU2"/>
    <s v="Jonnalagadda Srihari"/>
    <x v="0"/>
    <m/>
    <m/>
  </r>
  <r>
    <s v="Mukesh Kumar Manjhi"/>
    <s v="MANJHMU1"/>
    <s v="Jonnalagadda Srihari"/>
    <x v="0"/>
    <m/>
    <m/>
  </r>
  <r>
    <s v="E Naga Sudha Rani"/>
    <s v="EDENA3"/>
    <s v="Jonnalagadda Srihari"/>
    <x v="0"/>
    <m/>
    <m/>
  </r>
  <r>
    <s v="Nandini AM"/>
    <s v="MNAG"/>
    <s v="Jonnalagadda Srihari"/>
    <x v="2"/>
    <d v="2025-01-06T00:00:00"/>
    <d v="2025-01-14T00:00:00"/>
  </r>
  <r>
    <s v="Naresh Kumar"/>
    <s v="KUMARN5N"/>
    <s v="Jonnalagadda Srihari"/>
    <x v="1"/>
    <m/>
    <m/>
  </r>
  <r>
    <s v="Naseer Ahmed"/>
    <s v="AHMEDNAQ"/>
    <s v="Jonnalagadda Srihari"/>
    <x v="2"/>
    <m/>
    <m/>
  </r>
  <r>
    <s v="Neeraj Singh Sisodia"/>
    <s v="NEERASI1"/>
    <s v="Jonnalagadda Srihari"/>
    <x v="1"/>
    <d v="2025-01-21T00:00:00"/>
    <m/>
  </r>
  <r>
    <s v="Neha Shridhar Gundkal"/>
    <s v="GUNDKNE1"/>
    <s v="Jonnalagadda Srihari"/>
    <x v="0"/>
    <m/>
    <m/>
  </r>
  <r>
    <s v="Nikita Jain"/>
    <s v="JAINNI1G"/>
    <s v="Jonnalagadda Srihari"/>
    <x v="0"/>
    <m/>
    <m/>
  </r>
  <r>
    <s v="Nirmal Raaj S"/>
    <s v="RAAJNI1"/>
    <s v="Jonnalagadda Srihari"/>
    <x v="1"/>
    <m/>
    <m/>
  </r>
  <r>
    <s v="Pranav Vinay Kunkerkar"/>
    <s v="KUNKEPR1"/>
    <s v="Jonnalagadda Srihari"/>
    <x v="1"/>
    <m/>
    <m/>
  </r>
  <r>
    <s v="Pravallika Rallapalli"/>
    <s v="RALLAPR3"/>
    <s v="Jonnalagadda Srihari"/>
    <x v="1"/>
    <m/>
    <m/>
  </r>
  <r>
    <s v="Mr. Praveen Kumar Vitta"/>
    <s v="VITTAPR1"/>
    <s v="Jonnalagadda Srihari"/>
    <x v="1"/>
    <m/>
    <m/>
  </r>
  <r>
    <s v="Premchander Jebastian"/>
    <s v="CHANDP1D"/>
    <s v="Jonnalagadda Srihari"/>
    <x v="1"/>
    <m/>
    <m/>
  </r>
  <r>
    <s v="Prem Prakash"/>
    <s v="PRAKAPRD"/>
    <s v="Jonnalagadda Srihari"/>
    <x v="0"/>
    <m/>
    <m/>
  </r>
  <r>
    <s v="Vysyaraju Prudhviraju"/>
    <s v="VYSYAPR1"/>
    <s v="Jonnalagadda Srihari"/>
    <x v="1"/>
    <m/>
    <m/>
  </r>
  <r>
    <s v="Radha Kanaka Ratnam Tetali"/>
    <s v="TETALRA1"/>
    <s v="Jonnalagadda Srihari"/>
    <x v="0"/>
    <m/>
    <m/>
  </r>
  <r>
    <s v="Rajesh Boyapally"/>
    <s v="BOYAPRA1"/>
    <s v="Jonnalagadda Srihari"/>
    <x v="1"/>
    <d v="2024-09-18T00:00:00"/>
    <m/>
  </r>
  <r>
    <s v="RAJNISH KUMAR Singh"/>
    <s v="SINGHR5Y"/>
    <s v="Jonnalagadda Srihari"/>
    <x v="1"/>
    <m/>
    <m/>
  </r>
  <r>
    <s v="Raju Chevvakula"/>
    <s v="CHEVVRA1"/>
    <s v="Jonnalagadda Srihari"/>
    <x v="0"/>
    <m/>
    <m/>
  </r>
  <r>
    <s v="Ravali Patkur"/>
    <s v="PATKURA1"/>
    <s v="Jonnalagadda Srihari"/>
    <x v="1"/>
    <m/>
    <m/>
  </r>
  <r>
    <s v="Ravi Kiran Deyyala"/>
    <s v="DEYYARA2"/>
    <s v="Jonnalagadda Srihari"/>
    <x v="1"/>
    <m/>
    <m/>
  </r>
  <r>
    <s v="Doddapaneni Rethvik Sai"/>
    <s v="DODDARE1"/>
    <s v="Jonnalagadda Srihari"/>
    <x v="0"/>
    <m/>
    <m/>
  </r>
  <r>
    <s v="Satish Gunda"/>
    <s v="GUNDASA5"/>
    <s v="Jonnalagadda Srihari"/>
    <x v="1"/>
    <m/>
    <d v="2025-01-29T00:00:00"/>
  </r>
  <r>
    <s v="Shashank Gupta"/>
    <s v="GUPTAS4N"/>
    <s v="Jonnalagadda Srihari"/>
    <x v="1"/>
    <m/>
    <m/>
  </r>
  <r>
    <s v="Siva Sagar Mavuduri"/>
    <s v="MAVUDSI1"/>
    <s v="Jonnalagadda Srihari"/>
    <x v="1"/>
    <m/>
    <m/>
  </r>
  <r>
    <s v="Siva Sai Reddy Chilukala"/>
    <s v="CHILUSI1"/>
    <s v="Jonnalagadda Srihari"/>
    <x v="0"/>
    <m/>
    <m/>
  </r>
  <r>
    <s v="Mr. Sourabh Upadhye"/>
    <s v="UPADHSO1"/>
    <s v="Jonnalagadda Srihari"/>
    <x v="0"/>
    <m/>
    <m/>
  </r>
  <r>
    <s v="Sridhar Achary Nagavelli"/>
    <s v="NAGAVSR1"/>
    <s v="Jonnalagadda Srihari"/>
    <x v="0"/>
    <m/>
    <m/>
  </r>
  <r>
    <s v="Srikanth Thirumalagiri"/>
    <s v="THIRUSR5"/>
    <s v="Jonnalagadda Srihari"/>
    <x v="1"/>
    <m/>
    <m/>
  </r>
  <r>
    <s v="Suganesh Nageshwaran V"/>
    <s v="NAGESSU2"/>
    <s v="Jonnalagadda Srihari"/>
    <x v="1"/>
    <m/>
    <m/>
  </r>
  <r>
    <s v="Sumitra Bhagirathi Dalai"/>
    <s v="DALAISU1"/>
    <s v="Jonnalagadda Srihari"/>
    <x v="0"/>
    <m/>
    <m/>
  </r>
  <r>
    <s v="Komandla Suneel Kumar"/>
    <s v="KOMANSU1"/>
    <s v="Jonnalagadda Srihari"/>
    <x v="1"/>
    <m/>
    <m/>
  </r>
  <r>
    <s v="P Sunil Kumar"/>
    <s v="KUMARSJZ"/>
    <s v="Jonnalagadda Srihari"/>
    <x v="1"/>
    <m/>
    <m/>
  </r>
  <r>
    <s v="Suresh Kumar Raajendiran"/>
    <s v="RAAJESU1"/>
    <s v="Jonnalagadda Srihari"/>
    <x v="1"/>
    <m/>
    <m/>
  </r>
  <r>
    <s v="Suresh kumar Sekar"/>
    <s v="SEKARSU4"/>
    <s v="Jonnalagadda Srihari"/>
    <x v="1"/>
    <m/>
    <m/>
  </r>
  <r>
    <s v="Busigari Surya Prasanth Reddy"/>
    <s v="BUSIGSU1"/>
    <s v="Jonnalagadda Srihari"/>
    <x v="0"/>
    <m/>
    <m/>
  </r>
  <r>
    <s v="Tanuj Rama Krishnan V"/>
    <s v="KRISHTA4"/>
    <s v="Jonnalagadda Srihari"/>
    <x v="1"/>
    <m/>
    <m/>
  </r>
  <r>
    <s v="K Tharun Kumar"/>
    <s v="KTH6"/>
    <s v="Jonnalagadda Srihari"/>
    <x v="0"/>
    <m/>
    <m/>
  </r>
  <r>
    <s v="Vamshi Venkat Rajesh Machiraju"/>
    <s v="MACHIVA3"/>
    <s v="Jonnalagadda Srihari"/>
    <x v="0"/>
    <m/>
    <m/>
  </r>
  <r>
    <s v="Venkataramana Budisetti"/>
    <s v="BUDISVE1"/>
    <s v="Jonnalagadda Srihari"/>
    <x v="1"/>
    <m/>
    <m/>
  </r>
  <r>
    <s v="Venu Madhav Reddy"/>
    <s v="CHILUVE3"/>
    <s v="Jonnalagadda Srihari"/>
    <x v="0"/>
    <m/>
    <m/>
  </r>
  <r>
    <s v="Vigneshwara Ramakrishnan"/>
    <s v="RAMAKVI3"/>
    <s v="Jonnalagadda Srihari"/>
    <x v="0"/>
    <m/>
    <m/>
  </r>
  <r>
    <s v="Vikram Sanugula"/>
    <s v="SANUGVI1"/>
    <s v="Jonnalagadda Srihari"/>
    <x v="0"/>
    <m/>
    <m/>
  </r>
  <r>
    <s v="Vimit Vimit"/>
    <s v="VIMITVI1"/>
    <s v="Jonnalagadda Srihari"/>
    <x v="0"/>
    <m/>
    <m/>
  </r>
  <r>
    <s v="Mr. Vinit Naik"/>
    <s v="NAIKVI9"/>
    <s v="Jonnalagadda Srihari"/>
    <x v="1"/>
    <m/>
    <m/>
  </r>
  <r>
    <s v="Victor Rajan K"/>
    <s v="KVID"/>
    <s v="Jonnalagadda Srihari"/>
    <x v="1"/>
    <m/>
    <m/>
  </r>
  <r>
    <s v="Prasanthi Gavini"/>
    <s v="PRASAGA5"/>
    <s v="Jonnalagadda Srihari"/>
    <x v="1"/>
    <m/>
    <m/>
  </r>
  <r>
    <m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EEAF3-1F46-4191-8AD6-9611746BE1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7" firstHeaderRow="1" firstDataRow="1" firstDataCol="1"/>
  <pivotFields count="6">
    <pivotField dataField="1"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ll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C12"/>
  <sheetViews>
    <sheetView workbookViewId="0">
      <selection activeCell="B5" sqref="B5"/>
    </sheetView>
  </sheetViews>
  <sheetFormatPr defaultRowHeight="15" x14ac:dyDescent="0.25"/>
  <cols>
    <col min="2" max="2" width="38.5703125" bestFit="1" customWidth="1"/>
    <col min="3" max="3" width="17" bestFit="1" customWidth="1"/>
  </cols>
  <sheetData>
    <row r="1" spans="2:3" ht="18.75" customHeight="1" x14ac:dyDescent="0.25"/>
    <row r="2" spans="2:3" ht="18.75" customHeight="1" x14ac:dyDescent="0.25"/>
    <row r="3" spans="2:3" ht="18.75" customHeight="1" x14ac:dyDescent="0.25">
      <c r="B3" s="3" t="s">
        <v>0</v>
      </c>
      <c r="C3" t="s">
        <v>1</v>
      </c>
    </row>
    <row r="4" spans="2:3" ht="18.75" customHeight="1" x14ac:dyDescent="0.25">
      <c r="B4" s="2" t="s">
        <v>2</v>
      </c>
      <c r="C4">
        <v>29</v>
      </c>
    </row>
    <row r="5" spans="2:3" ht="18.75" customHeight="1" x14ac:dyDescent="0.25">
      <c r="B5" s="2" t="s">
        <v>3</v>
      </c>
      <c r="C5">
        <v>44</v>
      </c>
    </row>
    <row r="6" spans="2:3" ht="18.75" customHeight="1" x14ac:dyDescent="0.25">
      <c r="B6" s="2" t="s">
        <v>4</v>
      </c>
      <c r="C6">
        <v>4</v>
      </c>
    </row>
    <row r="7" spans="2:3" ht="18.75" customHeight="1" x14ac:dyDescent="0.25">
      <c r="B7" s="2" t="s">
        <v>5</v>
      </c>
      <c r="C7">
        <v>77</v>
      </c>
    </row>
    <row r="8" spans="2:3" ht="18.75" customHeight="1" x14ac:dyDescent="0.25"/>
    <row r="9" spans="2:3" ht="18.75" customHeight="1" x14ac:dyDescent="0.25"/>
    <row r="10" spans="2:3" ht="18.75" customHeight="1" x14ac:dyDescent="0.25"/>
    <row r="11" spans="2:3" ht="18.75" customHeight="1" x14ac:dyDescent="0.25"/>
    <row r="12" spans="2:3" ht="18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118"/>
  <sheetViews>
    <sheetView tabSelected="1" zoomScale="120" zoomScaleNormal="120" workbookViewId="0">
      <selection activeCell="C125" sqref="C125"/>
    </sheetView>
  </sheetViews>
  <sheetFormatPr defaultRowHeight="12.6" customHeight="1" x14ac:dyDescent="0.25"/>
  <cols>
    <col min="1" max="1" width="29.5703125" bestFit="1" customWidth="1"/>
    <col min="2" max="2" width="9.7109375" style="2" bestFit="1" customWidth="1"/>
    <col min="3" max="3" width="18.28515625" bestFit="1" customWidth="1"/>
    <col min="4" max="4" width="38.5703125" bestFit="1" customWidth="1"/>
    <col min="5" max="5" width="10.85546875" bestFit="1" customWidth="1"/>
    <col min="6" max="6" width="10.85546875" style="1" bestFit="1" customWidth="1"/>
    <col min="7" max="7" width="10.85546875" bestFit="1" customWidth="1"/>
  </cols>
  <sheetData>
    <row r="1" spans="1:7" ht="12.6" customHeight="1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10" t="s">
        <v>11</v>
      </c>
      <c r="G1" s="6" t="s">
        <v>12</v>
      </c>
    </row>
    <row r="2" spans="1:7" s="7" customFormat="1" ht="12.6" customHeight="1" x14ac:dyDescent="0.25">
      <c r="A2" s="4" t="s">
        <v>18</v>
      </c>
      <c r="B2" s="5" t="s">
        <v>19</v>
      </c>
      <c r="C2" s="8" t="s">
        <v>15</v>
      </c>
      <c r="D2" s="8" t="s">
        <v>3</v>
      </c>
      <c r="E2" s="12"/>
      <c r="F2" s="12"/>
      <c r="G2" s="8"/>
    </row>
    <row r="3" spans="1:7" s="7" customFormat="1" ht="12.6" customHeight="1" x14ac:dyDescent="0.25">
      <c r="A3" s="4" t="s">
        <v>20</v>
      </c>
      <c r="B3" s="5" t="s">
        <v>21</v>
      </c>
      <c r="C3" s="8" t="s">
        <v>15</v>
      </c>
      <c r="D3" s="8" t="s">
        <v>3</v>
      </c>
      <c r="E3" s="12"/>
      <c r="F3" s="12"/>
      <c r="G3" s="8"/>
    </row>
    <row r="4" spans="1:7" s="7" customFormat="1" ht="12.6" customHeight="1" x14ac:dyDescent="0.25">
      <c r="A4" s="4" t="s">
        <v>22</v>
      </c>
      <c r="B4" s="5" t="s">
        <v>23</v>
      </c>
      <c r="C4" s="8" t="s">
        <v>15</v>
      </c>
      <c r="D4" s="8" t="s">
        <v>2</v>
      </c>
      <c r="E4" s="12"/>
      <c r="F4" s="12"/>
      <c r="G4" s="8"/>
    </row>
    <row r="5" spans="1:7" s="7" customFormat="1" ht="12.6" customHeight="1" x14ac:dyDescent="0.25">
      <c r="A5" s="4" t="s">
        <v>24</v>
      </c>
      <c r="B5" s="5" t="s">
        <v>25</v>
      </c>
      <c r="C5" s="8" t="s">
        <v>15</v>
      </c>
      <c r="D5" s="8" t="s">
        <v>3</v>
      </c>
      <c r="E5" s="12"/>
      <c r="F5" s="12"/>
      <c r="G5" s="8"/>
    </row>
    <row r="6" spans="1:7" s="7" customFormat="1" ht="12.6" customHeight="1" x14ac:dyDescent="0.25">
      <c r="A6" s="4" t="s">
        <v>26</v>
      </c>
      <c r="B6" s="5" t="s">
        <v>27</v>
      </c>
      <c r="C6" s="8" t="s">
        <v>15</v>
      </c>
      <c r="D6" s="8" t="s">
        <v>3</v>
      </c>
      <c r="E6" s="12"/>
      <c r="F6" s="12"/>
      <c r="G6" s="8"/>
    </row>
    <row r="7" spans="1:7" s="7" customFormat="1" ht="12.6" customHeight="1" x14ac:dyDescent="0.25">
      <c r="A7" s="4" t="s">
        <v>28</v>
      </c>
      <c r="B7" s="5" t="s">
        <v>29</v>
      </c>
      <c r="C7" s="8" t="s">
        <v>15</v>
      </c>
      <c r="D7" s="8" t="s">
        <v>3</v>
      </c>
      <c r="E7" s="12"/>
      <c r="F7" s="12"/>
      <c r="G7" s="8"/>
    </row>
    <row r="8" spans="1:7" s="7" customFormat="1" ht="12.6" customHeight="1" x14ac:dyDescent="0.25">
      <c r="A8" s="4" t="s">
        <v>30</v>
      </c>
      <c r="B8" s="5" t="s">
        <v>31</v>
      </c>
      <c r="C8" s="8" t="s">
        <v>15</v>
      </c>
      <c r="D8" s="8" t="s">
        <v>3</v>
      </c>
      <c r="E8" s="12"/>
      <c r="F8" s="12"/>
      <c r="G8" s="8"/>
    </row>
    <row r="9" spans="1:7" s="7" customFormat="1" ht="12.6" customHeight="1" x14ac:dyDescent="0.25">
      <c r="A9" s="4" t="s">
        <v>34</v>
      </c>
      <c r="B9" s="5" t="s">
        <v>35</v>
      </c>
      <c r="C9" s="8" t="s">
        <v>15</v>
      </c>
      <c r="D9" s="8" t="s">
        <v>2</v>
      </c>
      <c r="E9" s="12"/>
      <c r="F9" s="12"/>
      <c r="G9" s="8"/>
    </row>
    <row r="10" spans="1:7" s="7" customFormat="1" ht="12.6" customHeight="1" x14ac:dyDescent="0.25">
      <c r="A10" s="4" t="s">
        <v>36</v>
      </c>
      <c r="B10" s="5" t="s">
        <v>37</v>
      </c>
      <c r="C10" s="8" t="s">
        <v>15</v>
      </c>
      <c r="D10" s="8" t="s">
        <v>3</v>
      </c>
      <c r="E10" s="12"/>
      <c r="F10" s="12">
        <v>46127</v>
      </c>
      <c r="G10" s="8"/>
    </row>
    <row r="11" spans="1:7" s="7" customFormat="1" ht="12.6" customHeight="1" x14ac:dyDescent="0.25">
      <c r="A11" s="4" t="s">
        <v>38</v>
      </c>
      <c r="B11" s="5" t="s">
        <v>39</v>
      </c>
      <c r="C11" s="8" t="s">
        <v>15</v>
      </c>
      <c r="D11" s="8" t="s">
        <v>3</v>
      </c>
      <c r="E11" s="12"/>
      <c r="F11" s="12"/>
      <c r="G11" s="8"/>
    </row>
    <row r="12" spans="1:7" s="7" customFormat="1" ht="12.6" customHeight="1" x14ac:dyDescent="0.25">
      <c r="A12" s="4" t="s">
        <v>266</v>
      </c>
      <c r="B12" s="5" t="s">
        <v>40</v>
      </c>
      <c r="C12" s="8" t="s">
        <v>15</v>
      </c>
      <c r="D12" s="8" t="s">
        <v>2</v>
      </c>
      <c r="E12" s="12"/>
      <c r="F12" s="12"/>
      <c r="G12" s="8"/>
    </row>
    <row r="13" spans="1:7" s="7" customFormat="1" ht="12.6" customHeight="1" x14ac:dyDescent="0.25">
      <c r="A13" s="4" t="s">
        <v>41</v>
      </c>
      <c r="B13" s="5" t="s">
        <v>42</v>
      </c>
      <c r="C13" s="8" t="s">
        <v>15</v>
      </c>
      <c r="D13" s="8" t="s">
        <v>3</v>
      </c>
      <c r="E13" s="12"/>
      <c r="F13" s="12"/>
      <c r="G13" s="8"/>
    </row>
    <row r="14" spans="1:7" s="7" customFormat="1" ht="12.6" customHeight="1" x14ac:dyDescent="0.25">
      <c r="A14" s="4" t="s">
        <v>43</v>
      </c>
      <c r="B14" s="5" t="s">
        <v>44</v>
      </c>
      <c r="C14" s="8" t="s">
        <v>15</v>
      </c>
      <c r="D14" s="8" t="s">
        <v>2</v>
      </c>
      <c r="E14" s="12"/>
      <c r="F14" s="12"/>
      <c r="G14" s="8"/>
    </row>
    <row r="15" spans="1:7" s="7" customFormat="1" ht="12.6" customHeight="1" x14ac:dyDescent="0.25">
      <c r="A15" s="4" t="s">
        <v>45</v>
      </c>
      <c r="B15" s="5" t="s">
        <v>46</v>
      </c>
      <c r="C15" s="8" t="s">
        <v>15</v>
      </c>
      <c r="D15" s="8" t="s">
        <v>3</v>
      </c>
      <c r="E15" s="12"/>
      <c r="F15" s="12"/>
      <c r="G15" s="8"/>
    </row>
    <row r="16" spans="1:7" s="7" customFormat="1" ht="12.6" customHeight="1" x14ac:dyDescent="0.25">
      <c r="A16" s="4" t="s">
        <v>267</v>
      </c>
      <c r="B16" s="5" t="s">
        <v>49</v>
      </c>
      <c r="C16" s="8" t="s">
        <v>15</v>
      </c>
      <c r="D16" s="8" t="s">
        <v>3</v>
      </c>
      <c r="E16" s="12"/>
      <c r="F16" s="12"/>
      <c r="G16" s="8"/>
    </row>
    <row r="17" spans="1:7" s="7" customFormat="1" ht="12.6" customHeight="1" x14ac:dyDescent="0.25">
      <c r="A17" s="4" t="s">
        <v>50</v>
      </c>
      <c r="B17" s="5" t="s">
        <v>51</v>
      </c>
      <c r="C17" s="8" t="s">
        <v>15</v>
      </c>
      <c r="D17" s="8" t="s">
        <v>3</v>
      </c>
      <c r="E17" s="12"/>
      <c r="F17" s="12"/>
      <c r="G17" s="8"/>
    </row>
    <row r="18" spans="1:7" s="7" customFormat="1" ht="12.6" customHeight="1" x14ac:dyDescent="0.25">
      <c r="A18" s="4" t="s">
        <v>52</v>
      </c>
      <c r="B18" s="5" t="s">
        <v>53</v>
      </c>
      <c r="C18" s="8" t="s">
        <v>15</v>
      </c>
      <c r="D18" s="8" t="s">
        <v>2</v>
      </c>
      <c r="E18" s="12"/>
      <c r="F18" s="12"/>
      <c r="G18" s="8"/>
    </row>
    <row r="19" spans="1:7" s="7" customFormat="1" ht="12.6" customHeight="1" x14ac:dyDescent="0.25">
      <c r="A19" s="4" t="s">
        <v>54</v>
      </c>
      <c r="B19" s="5" t="s">
        <v>55</v>
      </c>
      <c r="C19" s="8" t="s">
        <v>15</v>
      </c>
      <c r="D19" s="8" t="s">
        <v>3</v>
      </c>
      <c r="E19" s="12">
        <v>45805</v>
      </c>
      <c r="F19" s="12"/>
      <c r="G19" s="8"/>
    </row>
    <row r="20" spans="1:7" s="7" customFormat="1" ht="12.6" customHeight="1" x14ac:dyDescent="0.25">
      <c r="A20" s="4" t="s">
        <v>56</v>
      </c>
      <c r="B20" s="5" t="s">
        <v>57</v>
      </c>
      <c r="C20" s="8" t="s">
        <v>15</v>
      </c>
      <c r="D20" s="8" t="s">
        <v>3</v>
      </c>
      <c r="E20" s="12"/>
      <c r="F20" s="12"/>
      <c r="G20" s="8"/>
    </row>
    <row r="21" spans="1:7" s="7" customFormat="1" ht="12.6" customHeight="1" x14ac:dyDescent="0.25">
      <c r="A21" s="4" t="s">
        <v>58</v>
      </c>
      <c r="B21" s="5" t="s">
        <v>59</v>
      </c>
      <c r="C21" s="8" t="s">
        <v>15</v>
      </c>
      <c r="D21" s="8" t="s">
        <v>3</v>
      </c>
      <c r="E21" s="12"/>
      <c r="F21" s="12"/>
      <c r="G21" s="8"/>
    </row>
    <row r="22" spans="1:7" s="7" customFormat="1" ht="12.6" customHeight="1" x14ac:dyDescent="0.25">
      <c r="A22" s="4" t="s">
        <v>60</v>
      </c>
      <c r="B22" s="5" t="s">
        <v>61</v>
      </c>
      <c r="C22" s="8" t="s">
        <v>15</v>
      </c>
      <c r="D22" s="8" t="s">
        <v>3</v>
      </c>
      <c r="E22" s="12"/>
      <c r="F22" s="12"/>
      <c r="G22" s="8"/>
    </row>
    <row r="23" spans="1:7" s="7" customFormat="1" ht="12.6" customHeight="1" x14ac:dyDescent="0.25">
      <c r="A23" s="4" t="s">
        <v>62</v>
      </c>
      <c r="B23" s="5" t="s">
        <v>63</v>
      </c>
      <c r="C23" s="8" t="s">
        <v>15</v>
      </c>
      <c r="D23" s="8" t="s">
        <v>3</v>
      </c>
      <c r="E23" s="12"/>
      <c r="F23" s="12"/>
      <c r="G23" s="8"/>
    </row>
    <row r="24" spans="1:7" s="7" customFormat="1" ht="12.6" customHeight="1" x14ac:dyDescent="0.25">
      <c r="A24" s="4" t="s">
        <v>64</v>
      </c>
      <c r="B24" s="5" t="s">
        <v>65</v>
      </c>
      <c r="C24" s="8" t="s">
        <v>15</v>
      </c>
      <c r="D24" s="8" t="s">
        <v>3</v>
      </c>
      <c r="E24" s="12"/>
      <c r="F24" s="12"/>
      <c r="G24" s="8"/>
    </row>
    <row r="25" spans="1:7" s="7" customFormat="1" ht="12.6" customHeight="1" x14ac:dyDescent="0.25">
      <c r="A25" s="4" t="s">
        <v>68</v>
      </c>
      <c r="B25" s="5" t="s">
        <v>69</v>
      </c>
      <c r="C25" s="8" t="s">
        <v>15</v>
      </c>
      <c r="D25" s="8" t="s">
        <v>3</v>
      </c>
      <c r="E25" s="12"/>
      <c r="F25" s="12"/>
      <c r="G25" s="8"/>
    </row>
    <row r="26" spans="1:7" s="7" customFormat="1" ht="12.6" customHeight="1" x14ac:dyDescent="0.25">
      <c r="A26" s="4" t="s">
        <v>268</v>
      </c>
      <c r="B26" s="5" t="s">
        <v>70</v>
      </c>
      <c r="C26" s="8" t="s">
        <v>15</v>
      </c>
      <c r="D26" s="8" t="s">
        <v>3</v>
      </c>
      <c r="E26" s="12"/>
      <c r="F26" s="12"/>
      <c r="G26" s="8"/>
    </row>
    <row r="27" spans="1:7" s="7" customFormat="1" ht="12.6" customHeight="1" x14ac:dyDescent="0.25">
      <c r="A27" s="4" t="s">
        <v>71</v>
      </c>
      <c r="B27" s="5" t="s">
        <v>72</v>
      </c>
      <c r="C27" s="8" t="s">
        <v>15</v>
      </c>
      <c r="D27" s="8" t="s">
        <v>3</v>
      </c>
      <c r="E27" s="12"/>
      <c r="F27" s="12"/>
      <c r="G27" s="8"/>
    </row>
    <row r="28" spans="1:7" s="7" customFormat="1" ht="12.6" customHeight="1" x14ac:dyDescent="0.25">
      <c r="A28" s="4" t="s">
        <v>75</v>
      </c>
      <c r="B28" s="5" t="s">
        <v>76</v>
      </c>
      <c r="C28" s="8" t="s">
        <v>73</v>
      </c>
      <c r="D28" s="8" t="s">
        <v>74</v>
      </c>
      <c r="E28" s="12"/>
      <c r="F28" s="12"/>
      <c r="G28" s="8"/>
    </row>
    <row r="29" spans="1:7" s="7" customFormat="1" ht="12.6" customHeight="1" x14ac:dyDescent="0.25">
      <c r="A29" s="4" t="s">
        <v>77</v>
      </c>
      <c r="B29" s="5" t="s">
        <v>78</v>
      </c>
      <c r="C29" s="8" t="s">
        <v>73</v>
      </c>
      <c r="D29" s="8" t="s">
        <v>74</v>
      </c>
      <c r="E29" s="12"/>
      <c r="F29" s="12"/>
      <c r="G29" s="8"/>
    </row>
    <row r="30" spans="1:7" s="7" customFormat="1" ht="12.6" customHeight="1" x14ac:dyDescent="0.25">
      <c r="A30" s="14" t="s">
        <v>272</v>
      </c>
      <c r="B30" s="5" t="s">
        <v>79</v>
      </c>
      <c r="C30" s="8" t="s">
        <v>73</v>
      </c>
      <c r="D30" s="8" t="s">
        <v>74</v>
      </c>
      <c r="E30" s="12"/>
      <c r="F30" s="12"/>
      <c r="G30" s="8"/>
    </row>
    <row r="31" spans="1:7" s="7" customFormat="1" ht="12.6" customHeight="1" x14ac:dyDescent="0.25">
      <c r="A31" s="4" t="s">
        <v>269</v>
      </c>
      <c r="B31" s="5" t="s">
        <v>80</v>
      </c>
      <c r="C31" s="8" t="s">
        <v>15</v>
      </c>
      <c r="D31" s="8" t="s">
        <v>3</v>
      </c>
      <c r="E31" s="12"/>
      <c r="F31" s="12"/>
      <c r="G31" s="8"/>
    </row>
    <row r="32" spans="1:7" s="7" customFormat="1" ht="15" x14ac:dyDescent="0.25">
      <c r="A32" s="4" t="s">
        <v>81</v>
      </c>
      <c r="B32" s="5" t="s">
        <v>82</v>
      </c>
      <c r="C32" s="8" t="s">
        <v>15</v>
      </c>
      <c r="D32" s="8" t="s">
        <v>3</v>
      </c>
      <c r="E32" s="12"/>
      <c r="F32" s="12"/>
      <c r="G32" s="8"/>
    </row>
    <row r="33" spans="1:7" s="7" customFormat="1" ht="12.6" customHeight="1" x14ac:dyDescent="0.25">
      <c r="A33" s="4" t="s">
        <v>83</v>
      </c>
      <c r="B33" s="5" t="s">
        <v>84</v>
      </c>
      <c r="C33" s="8" t="s">
        <v>15</v>
      </c>
      <c r="D33" s="8" t="s">
        <v>3</v>
      </c>
      <c r="E33" s="12"/>
      <c r="F33" s="12"/>
      <c r="G33" s="8"/>
    </row>
    <row r="34" spans="1:7" s="7" customFormat="1" ht="12.6" customHeight="1" x14ac:dyDescent="0.25">
      <c r="A34" s="4" t="s">
        <v>85</v>
      </c>
      <c r="B34" s="5" t="s">
        <v>86</v>
      </c>
      <c r="C34" s="8" t="s">
        <v>15</v>
      </c>
      <c r="D34" s="8" t="s">
        <v>2</v>
      </c>
      <c r="E34" s="12"/>
      <c r="F34" s="12"/>
      <c r="G34" s="8"/>
    </row>
    <row r="35" spans="1:7" s="7" customFormat="1" ht="12.6" customHeight="1" x14ac:dyDescent="0.25">
      <c r="A35" s="4" t="s">
        <v>87</v>
      </c>
      <c r="B35" s="5" t="s">
        <v>88</v>
      </c>
      <c r="C35" s="8" t="s">
        <v>15</v>
      </c>
      <c r="D35" s="8" t="s">
        <v>2</v>
      </c>
      <c r="E35" s="12"/>
      <c r="F35" s="12"/>
      <c r="G35" s="8"/>
    </row>
    <row r="36" spans="1:7" s="7" customFormat="1" ht="12.6" customHeight="1" x14ac:dyDescent="0.25">
      <c r="A36" s="4" t="s">
        <v>89</v>
      </c>
      <c r="B36" s="5" t="s">
        <v>90</v>
      </c>
      <c r="C36" s="8" t="s">
        <v>15</v>
      </c>
      <c r="D36" s="8" t="s">
        <v>3</v>
      </c>
      <c r="E36" s="12"/>
      <c r="F36" s="12"/>
      <c r="G36" s="8"/>
    </row>
    <row r="37" spans="1:7" s="7" customFormat="1" ht="12.6" customHeight="1" x14ac:dyDescent="0.25">
      <c r="A37" s="4" t="s">
        <v>93</v>
      </c>
      <c r="B37" s="5" t="s">
        <v>94</v>
      </c>
      <c r="C37" s="8" t="s">
        <v>15</v>
      </c>
      <c r="D37" s="8" t="s">
        <v>3</v>
      </c>
      <c r="E37" s="12"/>
      <c r="F37" s="12"/>
      <c r="G37" s="8"/>
    </row>
    <row r="38" spans="1:7" s="7" customFormat="1" ht="12.6" customHeight="1" x14ac:dyDescent="0.25">
      <c r="A38" s="4" t="s">
        <v>95</v>
      </c>
      <c r="B38" s="5" t="s">
        <v>96</v>
      </c>
      <c r="C38" s="8" t="s">
        <v>15</v>
      </c>
      <c r="D38" s="8" t="s">
        <v>2</v>
      </c>
      <c r="E38" s="12"/>
      <c r="F38" s="12"/>
      <c r="G38" s="8"/>
    </row>
    <row r="39" spans="1:7" s="7" customFormat="1" ht="12.6" customHeight="1" x14ac:dyDescent="0.25">
      <c r="A39" s="4" t="s">
        <v>97</v>
      </c>
      <c r="B39" s="5" t="s">
        <v>98</v>
      </c>
      <c r="C39" s="8" t="s">
        <v>15</v>
      </c>
      <c r="D39" s="8" t="s">
        <v>2</v>
      </c>
      <c r="E39" s="12"/>
      <c r="F39" s="12"/>
      <c r="G39" s="8"/>
    </row>
    <row r="40" spans="1:7" s="7" customFormat="1" ht="12.6" customHeight="1" x14ac:dyDescent="0.25">
      <c r="A40" s="4" t="s">
        <v>103</v>
      </c>
      <c r="B40" s="5" t="s">
        <v>104</v>
      </c>
      <c r="C40" s="8" t="s">
        <v>15</v>
      </c>
      <c r="D40" s="8" t="s">
        <v>3</v>
      </c>
      <c r="E40" s="12"/>
      <c r="F40" s="12"/>
      <c r="G40" s="8"/>
    </row>
    <row r="41" spans="1:7" s="7" customFormat="1" ht="12.6" customHeight="1" x14ac:dyDescent="0.25">
      <c r="A41" s="4" t="s">
        <v>107</v>
      </c>
      <c r="B41" s="5" t="s">
        <v>108</v>
      </c>
      <c r="C41" s="8" t="s">
        <v>15</v>
      </c>
      <c r="D41" s="8" t="s">
        <v>2</v>
      </c>
      <c r="E41" s="12"/>
      <c r="F41" s="12"/>
      <c r="G41" s="8"/>
    </row>
    <row r="42" spans="1:7" s="7" customFormat="1" ht="12.6" customHeight="1" x14ac:dyDescent="0.25">
      <c r="A42" s="4" t="s">
        <v>111</v>
      </c>
      <c r="B42" s="5" t="s">
        <v>112</v>
      </c>
      <c r="C42" s="8" t="s">
        <v>15</v>
      </c>
      <c r="D42" s="8" t="s">
        <v>2</v>
      </c>
      <c r="E42" s="12"/>
      <c r="F42" s="12"/>
      <c r="G42" s="8"/>
    </row>
    <row r="43" spans="1:7" s="7" customFormat="1" ht="12.6" customHeight="1" x14ac:dyDescent="0.25">
      <c r="A43" s="4" t="s">
        <v>113</v>
      </c>
      <c r="B43" s="5" t="s">
        <v>114</v>
      </c>
      <c r="C43" s="8" t="s">
        <v>15</v>
      </c>
      <c r="D43" s="8" t="s">
        <v>3</v>
      </c>
      <c r="E43" s="12"/>
      <c r="F43" s="12"/>
      <c r="G43" s="8"/>
    </row>
    <row r="44" spans="1:7" s="7" customFormat="1" ht="12.6" customHeight="1" x14ac:dyDescent="0.25">
      <c r="A44" s="4" t="s">
        <v>115</v>
      </c>
      <c r="B44" s="5" t="s">
        <v>116</v>
      </c>
      <c r="C44" s="8" t="s">
        <v>15</v>
      </c>
      <c r="D44" s="8" t="s">
        <v>3</v>
      </c>
      <c r="E44" s="12"/>
      <c r="F44" s="12"/>
      <c r="G44" s="8"/>
    </row>
    <row r="45" spans="1:7" s="7" customFormat="1" ht="12.6" customHeight="1" x14ac:dyDescent="0.25">
      <c r="A45" s="4" t="s">
        <v>117</v>
      </c>
      <c r="B45" s="5" t="s">
        <v>118</v>
      </c>
      <c r="C45" s="8" t="s">
        <v>15</v>
      </c>
      <c r="D45" s="8" t="s">
        <v>3</v>
      </c>
      <c r="E45" s="12"/>
      <c r="F45" s="12"/>
      <c r="G45" s="8"/>
    </row>
    <row r="46" spans="1:7" s="7" customFormat="1" ht="12.6" customHeight="1" x14ac:dyDescent="0.25">
      <c r="A46" s="4" t="s">
        <v>121</v>
      </c>
      <c r="B46" s="5" t="s">
        <v>122</v>
      </c>
      <c r="C46" s="8" t="s">
        <v>15</v>
      </c>
      <c r="D46" s="8" t="s">
        <v>3</v>
      </c>
      <c r="E46" s="12"/>
      <c r="F46" s="12"/>
      <c r="G46" s="8"/>
    </row>
    <row r="47" spans="1:7" s="7" customFormat="1" ht="12.6" customHeight="1" x14ac:dyDescent="0.25">
      <c r="A47" s="4" t="s">
        <v>123</v>
      </c>
      <c r="B47" s="5" t="s">
        <v>124</v>
      </c>
      <c r="C47" s="8" t="s">
        <v>15</v>
      </c>
      <c r="D47" s="8" t="s">
        <v>3</v>
      </c>
      <c r="E47" s="12"/>
      <c r="F47" s="12"/>
      <c r="G47" s="8"/>
    </row>
    <row r="48" spans="1:7" s="7" customFormat="1" ht="12.6" customHeight="1" x14ac:dyDescent="0.25">
      <c r="A48" s="4" t="s">
        <v>125</v>
      </c>
      <c r="B48" s="5" t="s">
        <v>126</v>
      </c>
      <c r="C48" s="8" t="s">
        <v>15</v>
      </c>
      <c r="D48" s="8" t="s">
        <v>3</v>
      </c>
      <c r="E48" s="12"/>
      <c r="F48" s="12"/>
      <c r="G48" s="8"/>
    </row>
    <row r="49" spans="1:7" s="7" customFormat="1" ht="12.6" customHeight="1" x14ac:dyDescent="0.25">
      <c r="A49" s="4" t="s">
        <v>127</v>
      </c>
      <c r="B49" s="5" t="s">
        <v>128</v>
      </c>
      <c r="C49" s="8" t="s">
        <v>15</v>
      </c>
      <c r="D49" s="8" t="s">
        <v>2</v>
      </c>
      <c r="E49" s="12"/>
      <c r="F49" s="12"/>
      <c r="G49" s="8"/>
    </row>
    <row r="50" spans="1:7" s="7" customFormat="1" ht="12.6" customHeight="1" x14ac:dyDescent="0.25">
      <c r="A50" s="4" t="s">
        <v>129</v>
      </c>
      <c r="B50" s="5" t="s">
        <v>130</v>
      </c>
      <c r="C50" s="8" t="s">
        <v>15</v>
      </c>
      <c r="D50" s="8" t="s">
        <v>3</v>
      </c>
      <c r="E50" s="12"/>
      <c r="F50" s="12"/>
      <c r="G50" s="8"/>
    </row>
    <row r="51" spans="1:7" s="7" customFormat="1" ht="12.6" customHeight="1" x14ac:dyDescent="0.25">
      <c r="A51" s="4" t="s">
        <v>135</v>
      </c>
      <c r="B51" s="5" t="s">
        <v>136</v>
      </c>
      <c r="C51" s="8" t="s">
        <v>15</v>
      </c>
      <c r="D51" s="8" t="s">
        <v>3</v>
      </c>
      <c r="E51" s="12"/>
      <c r="F51" s="12"/>
      <c r="G51" s="8"/>
    </row>
    <row r="52" spans="1:7" s="7" customFormat="1" ht="12.6" customHeight="1" x14ac:dyDescent="0.25">
      <c r="A52" s="4" t="s">
        <v>137</v>
      </c>
      <c r="B52" s="5" t="s">
        <v>138</v>
      </c>
      <c r="C52" s="8" t="s">
        <v>15</v>
      </c>
      <c r="D52" s="8" t="s">
        <v>3</v>
      </c>
      <c r="E52" s="12"/>
      <c r="F52" s="12"/>
      <c r="G52" s="8"/>
    </row>
    <row r="53" spans="1:7" s="7" customFormat="1" ht="12.6" customHeight="1" x14ac:dyDescent="0.25">
      <c r="A53" t="s">
        <v>270</v>
      </c>
      <c r="B53" s="5" t="s">
        <v>139</v>
      </c>
      <c r="C53" s="8" t="s">
        <v>15</v>
      </c>
      <c r="D53" s="8" t="s">
        <v>3</v>
      </c>
      <c r="E53" s="12"/>
      <c r="F53" s="12"/>
      <c r="G53" s="8"/>
    </row>
    <row r="54" spans="1:7" s="7" customFormat="1" ht="12.6" customHeight="1" x14ac:dyDescent="0.25">
      <c r="A54" s="4" t="s">
        <v>142</v>
      </c>
      <c r="B54" s="5" t="s">
        <v>143</v>
      </c>
      <c r="C54" s="8" t="s">
        <v>15</v>
      </c>
      <c r="D54" s="8" t="s">
        <v>2</v>
      </c>
      <c r="E54" s="12"/>
      <c r="F54" s="12"/>
      <c r="G54" s="8"/>
    </row>
    <row r="55" spans="1:7" s="7" customFormat="1" ht="12.6" customHeight="1" x14ac:dyDescent="0.25">
      <c r="A55" s="4" t="s">
        <v>144</v>
      </c>
      <c r="B55" s="5" t="s">
        <v>145</v>
      </c>
      <c r="C55" s="8" t="s">
        <v>15</v>
      </c>
      <c r="D55" s="8" t="s">
        <v>2</v>
      </c>
      <c r="E55" s="12"/>
      <c r="F55" s="12"/>
      <c r="G55" s="8" t="s">
        <v>17</v>
      </c>
    </row>
    <row r="56" spans="1:7" s="7" customFormat="1" ht="12.6" customHeight="1" x14ac:dyDescent="0.25">
      <c r="A56" s="23" t="s">
        <v>146</v>
      </c>
      <c r="B56" s="5" t="s">
        <v>147</v>
      </c>
      <c r="C56" s="8" t="s">
        <v>15</v>
      </c>
      <c r="D56" s="8" t="s">
        <v>2</v>
      </c>
      <c r="E56" s="12"/>
      <c r="F56" s="12"/>
      <c r="G56" s="8"/>
    </row>
    <row r="57" spans="1:7" s="7" customFormat="1" ht="12.6" customHeight="1" x14ac:dyDescent="0.25">
      <c r="A57" s="4" t="s">
        <v>148</v>
      </c>
      <c r="B57" s="5" t="s">
        <v>149</v>
      </c>
      <c r="C57" s="8" t="s">
        <v>15</v>
      </c>
      <c r="D57" s="8" t="s">
        <v>2</v>
      </c>
      <c r="E57" s="12"/>
      <c r="F57" s="12"/>
      <c r="G57" s="8"/>
    </row>
    <row r="58" spans="1:7" s="7" customFormat="1" ht="12.6" customHeight="1" x14ac:dyDescent="0.25">
      <c r="A58" s="4" t="s">
        <v>150</v>
      </c>
      <c r="B58" s="5" t="s">
        <v>151</v>
      </c>
      <c r="C58" s="8" t="s">
        <v>15</v>
      </c>
      <c r="D58" s="8" t="s">
        <v>2</v>
      </c>
      <c r="E58" s="12"/>
      <c r="F58" s="12"/>
      <c r="G58" s="8"/>
    </row>
    <row r="59" spans="1:7" s="7" customFormat="1" ht="12.6" customHeight="1" x14ac:dyDescent="0.25">
      <c r="A59" s="4" t="s">
        <v>152</v>
      </c>
      <c r="B59" s="5" t="s">
        <v>153</v>
      </c>
      <c r="C59" s="8" t="s">
        <v>15</v>
      </c>
      <c r="D59" s="8" t="s">
        <v>3</v>
      </c>
      <c r="E59" s="12"/>
      <c r="F59" s="12"/>
      <c r="G59" s="8"/>
    </row>
    <row r="60" spans="1:7" s="7" customFormat="1" ht="12.6" customHeight="1" x14ac:dyDescent="0.25">
      <c r="A60" s="4" t="s">
        <v>154</v>
      </c>
      <c r="B60" s="5" t="s">
        <v>155</v>
      </c>
      <c r="C60" s="8" t="s">
        <v>156</v>
      </c>
      <c r="D60" s="8" t="s">
        <v>157</v>
      </c>
      <c r="E60" s="12"/>
      <c r="F60" s="12"/>
      <c r="G60" s="8"/>
    </row>
    <row r="61" spans="1:7" s="7" customFormat="1" ht="12.6" customHeight="1" x14ac:dyDescent="0.25">
      <c r="A61" s="4" t="s">
        <v>264</v>
      </c>
      <c r="B61" s="5" t="s">
        <v>158</v>
      </c>
      <c r="C61" s="8" t="s">
        <v>156</v>
      </c>
      <c r="D61" s="8" t="s">
        <v>157</v>
      </c>
      <c r="E61" s="12"/>
      <c r="F61" s="12"/>
      <c r="G61" s="8"/>
    </row>
    <row r="62" spans="1:7" s="7" customFormat="1" ht="12.6" customHeight="1" x14ac:dyDescent="0.25">
      <c r="A62" s="4" t="s">
        <v>159</v>
      </c>
      <c r="B62" s="5" t="s">
        <v>160</v>
      </c>
      <c r="C62" s="8" t="s">
        <v>161</v>
      </c>
      <c r="D62" s="8" t="s">
        <v>203</v>
      </c>
      <c r="E62" s="12"/>
      <c r="F62" s="12"/>
      <c r="G62" s="8"/>
    </row>
    <row r="63" spans="1:7" s="7" customFormat="1" ht="12.6" customHeight="1" x14ac:dyDescent="0.25">
      <c r="A63" s="4" t="s">
        <v>265</v>
      </c>
      <c r="B63" s="5" t="s">
        <v>162</v>
      </c>
      <c r="C63" s="8" t="s">
        <v>156</v>
      </c>
      <c r="D63" s="8" t="s">
        <v>157</v>
      </c>
      <c r="E63" s="12"/>
      <c r="F63" s="12"/>
      <c r="G63" s="8"/>
    </row>
    <row r="64" spans="1:7" s="7" customFormat="1" ht="12.6" customHeight="1" x14ac:dyDescent="0.25">
      <c r="A64" s="4" t="s">
        <v>163</v>
      </c>
      <c r="B64" s="5" t="s">
        <v>164</v>
      </c>
      <c r="C64" s="8" t="s">
        <v>156</v>
      </c>
      <c r="D64" s="8" t="s">
        <v>157</v>
      </c>
      <c r="E64" s="12"/>
      <c r="F64" s="12"/>
      <c r="G64" s="8"/>
    </row>
    <row r="65" spans="1:7" s="7" customFormat="1" ht="12.6" customHeight="1" x14ac:dyDescent="0.25">
      <c r="A65" s="4" t="s">
        <v>251</v>
      </c>
      <c r="B65" s="5" t="s">
        <v>165</v>
      </c>
      <c r="C65" s="8" t="s">
        <v>15</v>
      </c>
      <c r="D65" s="8" t="s">
        <v>2</v>
      </c>
      <c r="E65" s="12">
        <v>45842</v>
      </c>
      <c r="F65" s="12"/>
      <c r="G65" s="8"/>
    </row>
    <row r="66" spans="1:7" s="7" customFormat="1" ht="12.6" customHeight="1" x14ac:dyDescent="0.25">
      <c r="A66" s="4" t="s">
        <v>166</v>
      </c>
      <c r="B66" s="5" t="s">
        <v>167</v>
      </c>
      <c r="C66" s="8" t="s">
        <v>15</v>
      </c>
      <c r="D66" s="8" t="s">
        <v>2</v>
      </c>
      <c r="E66" s="12">
        <v>45842</v>
      </c>
      <c r="F66" s="12"/>
      <c r="G66" s="8"/>
    </row>
    <row r="67" spans="1:7" s="7" customFormat="1" ht="12.6" customHeight="1" x14ac:dyDescent="0.25">
      <c r="A67" s="4" t="s">
        <v>278</v>
      </c>
      <c r="B67" s="5" t="s">
        <v>168</v>
      </c>
      <c r="C67" s="8" t="s">
        <v>15</v>
      </c>
      <c r="D67" s="8" t="s">
        <v>2</v>
      </c>
      <c r="E67" s="12">
        <v>45842</v>
      </c>
      <c r="F67" s="12"/>
      <c r="G67" s="8"/>
    </row>
    <row r="68" spans="1:7" s="7" customFormat="1" ht="12.6" customHeight="1" x14ac:dyDescent="0.25">
      <c r="A68" s="4" t="s">
        <v>169</v>
      </c>
      <c r="B68" s="5" t="s">
        <v>170</v>
      </c>
      <c r="C68" s="8" t="s">
        <v>15</v>
      </c>
      <c r="D68" s="8" t="s">
        <v>3</v>
      </c>
      <c r="E68" s="12">
        <v>45854</v>
      </c>
      <c r="F68" s="12"/>
      <c r="G68" s="8"/>
    </row>
    <row r="69" spans="1:7" s="7" customFormat="1" ht="12.6" customHeight="1" x14ac:dyDescent="0.25">
      <c r="A69" s="4" t="s">
        <v>171</v>
      </c>
      <c r="B69" s="5" t="s">
        <v>172</v>
      </c>
      <c r="C69" s="8" t="s">
        <v>15</v>
      </c>
      <c r="D69" s="8" t="s">
        <v>2</v>
      </c>
      <c r="E69" s="12">
        <v>45854</v>
      </c>
      <c r="F69" s="12"/>
      <c r="G69" s="8"/>
    </row>
    <row r="70" spans="1:7" s="7" customFormat="1" ht="12.6" customHeight="1" x14ac:dyDescent="0.25">
      <c r="A70" s="4" t="s">
        <v>173</v>
      </c>
      <c r="B70" s="5" t="s">
        <v>174</v>
      </c>
      <c r="C70" s="8" t="s">
        <v>15</v>
      </c>
      <c r="D70" s="8" t="s">
        <v>2</v>
      </c>
      <c r="E70" s="12">
        <v>45854</v>
      </c>
      <c r="F70" s="12"/>
      <c r="G70" s="8"/>
    </row>
    <row r="71" spans="1:7" s="7" customFormat="1" ht="12.6" customHeight="1" x14ac:dyDescent="0.25">
      <c r="A71" s="4" t="s">
        <v>175</v>
      </c>
      <c r="B71" s="5" t="s">
        <v>176</v>
      </c>
      <c r="C71" s="8" t="s">
        <v>15</v>
      </c>
      <c r="D71" s="8" t="s">
        <v>2</v>
      </c>
      <c r="E71" s="12"/>
      <c r="F71" s="12"/>
      <c r="G71" s="8"/>
    </row>
    <row r="72" spans="1:7" s="7" customFormat="1" ht="12.6" customHeight="1" x14ac:dyDescent="0.25">
      <c r="A72" s="14" t="s">
        <v>209</v>
      </c>
      <c r="B72" s="5" t="s">
        <v>177</v>
      </c>
      <c r="C72" s="8" t="s">
        <v>15</v>
      </c>
      <c r="D72" s="8" t="s">
        <v>2</v>
      </c>
      <c r="E72" s="12"/>
      <c r="F72" s="12"/>
      <c r="G72" s="8"/>
    </row>
    <row r="73" spans="1:7" s="7" customFormat="1" ht="12.6" customHeight="1" x14ac:dyDescent="0.25">
      <c r="A73" s="4" t="s">
        <v>252</v>
      </c>
      <c r="B73" s="5" t="s">
        <v>178</v>
      </c>
      <c r="C73" s="8" t="s">
        <v>15</v>
      </c>
      <c r="D73" s="8" t="s">
        <v>2</v>
      </c>
      <c r="E73" s="12">
        <v>45888</v>
      </c>
      <c r="F73" s="12">
        <v>46112</v>
      </c>
      <c r="G73" s="8"/>
    </row>
    <row r="74" spans="1:7" s="7" customFormat="1" ht="12.6" customHeight="1" x14ac:dyDescent="0.25">
      <c r="A74" s="4" t="s">
        <v>179</v>
      </c>
      <c r="B74" s="5" t="s">
        <v>200</v>
      </c>
      <c r="C74" s="8" t="s">
        <v>15</v>
      </c>
      <c r="D74" s="8" t="s">
        <v>3</v>
      </c>
      <c r="E74" s="12">
        <v>45888</v>
      </c>
      <c r="F74" s="12"/>
      <c r="G74" s="8"/>
    </row>
    <row r="75" spans="1:7" s="7" customFormat="1" ht="12.6" customHeight="1" x14ac:dyDescent="0.25">
      <c r="A75" s="4" t="s">
        <v>180</v>
      </c>
      <c r="B75" s="5" t="s">
        <v>201</v>
      </c>
      <c r="C75" s="8" t="s">
        <v>15</v>
      </c>
      <c r="D75" s="8" t="s">
        <v>2</v>
      </c>
      <c r="E75" s="12">
        <v>45876</v>
      </c>
      <c r="F75" s="12"/>
      <c r="G75" s="8"/>
    </row>
    <row r="76" spans="1:7" s="7" customFormat="1" ht="12.6" customHeight="1" x14ac:dyDescent="0.25">
      <c r="A76" s="8" t="s">
        <v>181</v>
      </c>
      <c r="B76" s="13" t="s">
        <v>190</v>
      </c>
      <c r="C76" s="11" t="s">
        <v>188</v>
      </c>
      <c r="D76" s="8" t="s">
        <v>189</v>
      </c>
      <c r="E76" s="8"/>
      <c r="F76" s="12">
        <v>46140</v>
      </c>
      <c r="G76" s="8"/>
    </row>
    <row r="77" spans="1:7" s="7" customFormat="1" ht="12.6" customHeight="1" x14ac:dyDescent="0.25">
      <c r="A77" s="8" t="s">
        <v>182</v>
      </c>
      <c r="B77" s="13" t="s">
        <v>191</v>
      </c>
      <c r="C77" s="11" t="s">
        <v>188</v>
      </c>
      <c r="D77" s="8" t="s">
        <v>189</v>
      </c>
      <c r="E77" s="8"/>
      <c r="F77" s="12"/>
      <c r="G77" s="8"/>
    </row>
    <row r="78" spans="1:7" s="7" customFormat="1" ht="12.6" customHeight="1" x14ac:dyDescent="0.25">
      <c r="A78" s="8" t="s">
        <v>183</v>
      </c>
      <c r="B78" s="13" t="s">
        <v>193</v>
      </c>
      <c r="C78" s="11" t="s">
        <v>194</v>
      </c>
      <c r="D78" s="8" t="s">
        <v>195</v>
      </c>
      <c r="E78" s="8"/>
      <c r="F78" s="12"/>
      <c r="G78" s="8"/>
    </row>
    <row r="79" spans="1:7" s="7" customFormat="1" ht="12.6" customHeight="1" x14ac:dyDescent="0.25">
      <c r="A79" s="8" t="s">
        <v>184</v>
      </c>
      <c r="B79" s="13" t="s">
        <v>196</v>
      </c>
      <c r="C79" s="11" t="s">
        <v>156</v>
      </c>
      <c r="D79" s="8" t="s">
        <v>157</v>
      </c>
      <c r="E79" s="8"/>
      <c r="F79" s="12"/>
      <c r="G79" s="8"/>
    </row>
    <row r="80" spans="1:7" s="7" customFormat="1" ht="12.6" customHeight="1" x14ac:dyDescent="0.25">
      <c r="A80" s="8" t="s">
        <v>185</v>
      </c>
      <c r="B80" s="13" t="s">
        <v>192</v>
      </c>
      <c r="C80" s="8" t="s">
        <v>73</v>
      </c>
      <c r="D80" s="8" t="s">
        <v>74</v>
      </c>
      <c r="E80" s="8"/>
      <c r="F80" s="12"/>
      <c r="G80" s="8"/>
    </row>
    <row r="81" spans="1:7" s="7" customFormat="1" ht="12.6" customHeight="1" x14ac:dyDescent="0.25">
      <c r="A81" s="8" t="s">
        <v>186</v>
      </c>
      <c r="B81" s="13" t="s">
        <v>197</v>
      </c>
      <c r="C81" s="11" t="s">
        <v>198</v>
      </c>
      <c r="D81" s="8" t="s">
        <v>202</v>
      </c>
      <c r="E81" s="8"/>
      <c r="F81" s="12"/>
      <c r="G81" s="8"/>
    </row>
    <row r="82" spans="1:7" s="7" customFormat="1" ht="12.6" customHeight="1" x14ac:dyDescent="0.25">
      <c r="A82" s="8" t="s">
        <v>187</v>
      </c>
      <c r="B82" s="13" t="s">
        <v>199</v>
      </c>
      <c r="C82" s="8" t="s">
        <v>156</v>
      </c>
      <c r="D82" s="8" t="s">
        <v>157</v>
      </c>
      <c r="E82" s="8"/>
      <c r="F82" s="12"/>
      <c r="G82" s="8"/>
    </row>
    <row r="83" spans="1:7" ht="12.6" customHeight="1" x14ac:dyDescent="0.25">
      <c r="A83" s="8" t="s">
        <v>204</v>
      </c>
      <c r="B83" s="13" t="s">
        <v>207</v>
      </c>
      <c r="C83" s="20" t="s">
        <v>231</v>
      </c>
      <c r="D83" s="8" t="s">
        <v>208</v>
      </c>
      <c r="E83" s="16"/>
      <c r="F83" s="17"/>
      <c r="G83" s="15"/>
    </row>
    <row r="84" spans="1:7" ht="12.6" customHeight="1" x14ac:dyDescent="0.25">
      <c r="A84" s="8" t="s">
        <v>205</v>
      </c>
      <c r="B84" s="13" t="s">
        <v>206</v>
      </c>
      <c r="C84" s="20" t="s">
        <v>231</v>
      </c>
      <c r="D84" s="8" t="s">
        <v>208</v>
      </c>
      <c r="E84" s="16"/>
      <c r="F84" s="17"/>
      <c r="G84" s="15"/>
    </row>
    <row r="85" spans="1:7" ht="12.6" customHeight="1" x14ac:dyDescent="0.25">
      <c r="A85" s="8" t="s">
        <v>210</v>
      </c>
      <c r="B85" s="18" t="s">
        <v>213</v>
      </c>
      <c r="C85" s="8" t="s">
        <v>15</v>
      </c>
      <c r="D85" s="8" t="s">
        <v>3</v>
      </c>
      <c r="E85" s="12">
        <v>45919</v>
      </c>
      <c r="F85" s="17"/>
      <c r="G85" s="15"/>
    </row>
    <row r="86" spans="1:7" ht="12.6" customHeight="1" x14ac:dyDescent="0.25">
      <c r="A86" s="18" t="s">
        <v>214</v>
      </c>
      <c r="B86" s="18" t="s">
        <v>211</v>
      </c>
      <c r="C86" s="8" t="s">
        <v>15</v>
      </c>
      <c r="D86" s="8" t="s">
        <v>3</v>
      </c>
      <c r="E86" s="12">
        <v>45912</v>
      </c>
      <c r="F86" s="17"/>
      <c r="G86" s="15"/>
    </row>
    <row r="87" spans="1:7" ht="12.6" customHeight="1" x14ac:dyDescent="0.25">
      <c r="A87" s="8" t="s">
        <v>215</v>
      </c>
      <c r="B87" s="18" t="s">
        <v>212</v>
      </c>
      <c r="C87" s="8" t="s">
        <v>15</v>
      </c>
      <c r="D87" s="8" t="s">
        <v>3</v>
      </c>
      <c r="E87" s="12">
        <v>45915</v>
      </c>
      <c r="F87" s="17"/>
      <c r="G87" s="15"/>
    </row>
    <row r="88" spans="1:7" ht="12.6" customHeight="1" x14ac:dyDescent="0.25">
      <c r="A88" s="14" t="s">
        <v>245</v>
      </c>
      <c r="B88" s="13" t="s">
        <v>221</v>
      </c>
      <c r="C88" s="8" t="s">
        <v>15</v>
      </c>
      <c r="D88" s="8" t="s">
        <v>2</v>
      </c>
      <c r="E88" s="12">
        <v>45959</v>
      </c>
      <c r="F88" s="19"/>
      <c r="G88" s="15"/>
    </row>
    <row r="89" spans="1:7" ht="12.6" customHeight="1" x14ac:dyDescent="0.25">
      <c r="A89" s="8" t="s">
        <v>217</v>
      </c>
      <c r="B89" s="13" t="s">
        <v>222</v>
      </c>
      <c r="C89" s="8" t="s">
        <v>15</v>
      </c>
      <c r="D89" s="8" t="s">
        <v>2</v>
      </c>
      <c r="E89" s="12">
        <v>45951</v>
      </c>
      <c r="F89" s="19"/>
      <c r="G89" s="15"/>
    </row>
    <row r="90" spans="1:7" ht="12.6" customHeight="1" x14ac:dyDescent="0.25">
      <c r="A90" s="8" t="s">
        <v>218</v>
      </c>
      <c r="B90" s="13" t="s">
        <v>223</v>
      </c>
      <c r="C90" s="8" t="s">
        <v>15</v>
      </c>
      <c r="D90" s="8" t="s">
        <v>3</v>
      </c>
      <c r="E90" s="12">
        <v>45945</v>
      </c>
      <c r="F90" s="19"/>
      <c r="G90" s="15"/>
    </row>
    <row r="91" spans="1:7" ht="12.6" customHeight="1" x14ac:dyDescent="0.25">
      <c r="A91" s="8" t="s">
        <v>219</v>
      </c>
      <c r="B91" s="13" t="s">
        <v>224</v>
      </c>
      <c r="C91" s="8" t="s">
        <v>15</v>
      </c>
      <c r="D91" s="8" t="s">
        <v>3</v>
      </c>
      <c r="E91" s="12">
        <v>45938</v>
      </c>
      <c r="F91" s="19"/>
      <c r="G91" s="15"/>
    </row>
    <row r="92" spans="1:7" ht="12.6" customHeight="1" x14ac:dyDescent="0.25">
      <c r="A92" s="8" t="s">
        <v>220</v>
      </c>
      <c r="B92" s="13" t="s">
        <v>225</v>
      </c>
      <c r="C92" s="8" t="s">
        <v>15</v>
      </c>
      <c r="D92" s="8" t="s">
        <v>3</v>
      </c>
      <c r="E92" s="12">
        <v>45939</v>
      </c>
      <c r="F92" s="19"/>
      <c r="G92" s="15"/>
    </row>
    <row r="93" spans="1:7" ht="12.6" customHeight="1" x14ac:dyDescent="0.25">
      <c r="A93" s="8" t="s">
        <v>229</v>
      </c>
      <c r="B93" s="13" t="s">
        <v>226</v>
      </c>
      <c r="C93" s="8" t="s">
        <v>15</v>
      </c>
      <c r="D93" s="8" t="s">
        <v>2</v>
      </c>
      <c r="E93" s="12">
        <v>45961</v>
      </c>
      <c r="F93" s="19"/>
      <c r="G93" s="15"/>
    </row>
    <row r="94" spans="1:7" ht="12.6" customHeight="1" x14ac:dyDescent="0.25">
      <c r="A94" s="8" t="s">
        <v>216</v>
      </c>
      <c r="B94" s="13" t="s">
        <v>227</v>
      </c>
      <c r="C94" s="8" t="s">
        <v>15</v>
      </c>
      <c r="D94" s="8" t="s">
        <v>2</v>
      </c>
      <c r="E94" s="12">
        <v>45961</v>
      </c>
      <c r="F94" s="19"/>
      <c r="G94" s="15"/>
    </row>
    <row r="95" spans="1:7" ht="12.6" customHeight="1" x14ac:dyDescent="0.25">
      <c r="A95" s="8" t="s">
        <v>230</v>
      </c>
      <c r="B95" s="13" t="s">
        <v>228</v>
      </c>
      <c r="C95" s="8" t="s">
        <v>15</v>
      </c>
      <c r="D95" s="8" t="s">
        <v>2</v>
      </c>
      <c r="E95" s="12">
        <v>45961</v>
      </c>
      <c r="F95" s="19"/>
      <c r="G95" s="15"/>
    </row>
    <row r="96" spans="1:7" s="14" customFormat="1" ht="12.6" customHeight="1" x14ac:dyDescent="0.2">
      <c r="A96" s="18" t="s">
        <v>232</v>
      </c>
      <c r="B96" s="18" t="s">
        <v>236</v>
      </c>
      <c r="C96" s="8" t="s">
        <v>15</v>
      </c>
      <c r="D96" s="8" t="s">
        <v>2</v>
      </c>
      <c r="E96" s="21">
        <v>45988</v>
      </c>
      <c r="F96" s="12"/>
      <c r="G96" s="8"/>
    </row>
    <row r="97" spans="1:7" s="14" customFormat="1" ht="12.6" customHeight="1" x14ac:dyDescent="0.2">
      <c r="A97" s="18" t="s">
        <v>250</v>
      </c>
      <c r="B97" s="18" t="s">
        <v>237</v>
      </c>
      <c r="C97" s="8" t="s">
        <v>15</v>
      </c>
      <c r="D97" s="8" t="s">
        <v>2</v>
      </c>
      <c r="E97" s="21">
        <v>45987</v>
      </c>
      <c r="F97" s="12"/>
      <c r="G97" s="8"/>
    </row>
    <row r="98" spans="1:7" s="14" customFormat="1" ht="12.6" customHeight="1" x14ac:dyDescent="0.2">
      <c r="A98" s="18" t="s">
        <v>233</v>
      </c>
      <c r="B98" s="18" t="s">
        <v>238</v>
      </c>
      <c r="C98" s="8" t="s">
        <v>15</v>
      </c>
      <c r="D98" s="8" t="s">
        <v>2</v>
      </c>
      <c r="E98" s="21">
        <v>45982</v>
      </c>
      <c r="F98" s="12"/>
      <c r="G98" s="8"/>
    </row>
    <row r="99" spans="1:7" s="14" customFormat="1" ht="12.6" customHeight="1" x14ac:dyDescent="0.2">
      <c r="A99" s="18" t="s">
        <v>243</v>
      </c>
      <c r="B99" s="18" t="s">
        <v>239</v>
      </c>
      <c r="C99" s="8" t="s">
        <v>15</v>
      </c>
      <c r="D99" s="8" t="s">
        <v>2</v>
      </c>
      <c r="E99" s="21">
        <v>45974</v>
      </c>
      <c r="F99" s="12"/>
      <c r="G99" s="8"/>
    </row>
    <row r="100" spans="1:7" s="14" customFormat="1" ht="12.6" customHeight="1" x14ac:dyDescent="0.2">
      <c r="A100" s="22" t="s">
        <v>234</v>
      </c>
      <c r="B100" s="18" t="s">
        <v>240</v>
      </c>
      <c r="C100" s="8" t="s">
        <v>15</v>
      </c>
      <c r="D100" s="8" t="s">
        <v>2</v>
      </c>
      <c r="E100" s="21">
        <v>45968</v>
      </c>
      <c r="F100" s="12"/>
      <c r="G100" s="8"/>
    </row>
    <row r="101" spans="1:7" s="14" customFormat="1" ht="12.6" customHeight="1" x14ac:dyDescent="0.2">
      <c r="A101" s="18" t="s">
        <v>235</v>
      </c>
      <c r="B101" s="18" t="s">
        <v>241</v>
      </c>
      <c r="C101" s="8" t="s">
        <v>15</v>
      </c>
      <c r="D101" s="8" t="s">
        <v>2</v>
      </c>
      <c r="E101" s="21">
        <v>45967</v>
      </c>
      <c r="F101" s="12"/>
      <c r="G101" s="8"/>
    </row>
    <row r="102" spans="1:7" s="14" customFormat="1" ht="12.6" customHeight="1" x14ac:dyDescent="0.2">
      <c r="A102" s="22" t="s">
        <v>244</v>
      </c>
      <c r="B102" s="18" t="s">
        <v>242</v>
      </c>
      <c r="C102" s="8" t="s">
        <v>15</v>
      </c>
      <c r="D102" s="8" t="s">
        <v>2</v>
      </c>
      <c r="E102" s="21">
        <v>45979</v>
      </c>
      <c r="F102" s="12"/>
      <c r="G102" s="8"/>
    </row>
    <row r="103" spans="1:7" ht="12.6" customHeight="1" x14ac:dyDescent="0.25">
      <c r="A103" s="18" t="s">
        <v>249</v>
      </c>
      <c r="B103" s="18" t="s">
        <v>247</v>
      </c>
      <c r="C103" s="8" t="s">
        <v>15</v>
      </c>
      <c r="D103" s="8" t="s">
        <v>2</v>
      </c>
      <c r="E103" s="21">
        <v>45996</v>
      </c>
      <c r="F103" s="19"/>
      <c r="G103" s="15"/>
    </row>
    <row r="104" spans="1:7" ht="12.6" customHeight="1" x14ac:dyDescent="0.25">
      <c r="A104" s="18" t="s">
        <v>246</v>
      </c>
      <c r="B104" s="18" t="s">
        <v>248</v>
      </c>
      <c r="C104" s="8" t="s">
        <v>15</v>
      </c>
      <c r="D104" s="8" t="s">
        <v>2</v>
      </c>
      <c r="E104" s="21">
        <v>46003</v>
      </c>
      <c r="F104" s="19"/>
      <c r="G104" s="15"/>
    </row>
    <row r="105" spans="1:7" ht="12.6" customHeight="1" x14ac:dyDescent="0.25">
      <c r="A105" s="8" t="s">
        <v>271</v>
      </c>
      <c r="B105" s="18" t="s">
        <v>253</v>
      </c>
      <c r="C105" s="8" t="s">
        <v>73</v>
      </c>
      <c r="D105" s="8" t="s">
        <v>74</v>
      </c>
      <c r="E105" s="12">
        <v>46036</v>
      </c>
      <c r="F105" s="19"/>
      <c r="G105" s="15"/>
    </row>
    <row r="106" spans="1:7" ht="12.6" customHeight="1" x14ac:dyDescent="0.25">
      <c r="A106" s="18" t="s">
        <v>255</v>
      </c>
      <c r="B106" s="18" t="s">
        <v>254</v>
      </c>
      <c r="C106" s="8" t="s">
        <v>15</v>
      </c>
      <c r="D106" s="8" t="s">
        <v>2</v>
      </c>
      <c r="E106" s="12">
        <v>46042</v>
      </c>
      <c r="F106" s="19"/>
      <c r="G106" s="15"/>
    </row>
    <row r="107" spans="1:7" s="14" customFormat="1" ht="12.6" customHeight="1" x14ac:dyDescent="0.2">
      <c r="A107" s="18" t="s">
        <v>256</v>
      </c>
      <c r="B107" s="13" t="s">
        <v>257</v>
      </c>
      <c r="C107" s="8" t="s">
        <v>15</v>
      </c>
      <c r="D107" s="8" t="s">
        <v>3</v>
      </c>
      <c r="E107" s="12">
        <v>46065</v>
      </c>
      <c r="F107" s="12"/>
      <c r="G107" s="8"/>
    </row>
    <row r="108" spans="1:7" ht="12.6" customHeight="1" x14ac:dyDescent="0.25">
      <c r="A108" s="8" t="s">
        <v>258</v>
      </c>
      <c r="B108" s="13" t="s">
        <v>259</v>
      </c>
      <c r="C108" s="8" t="s">
        <v>188</v>
      </c>
      <c r="D108" s="8" t="s">
        <v>189</v>
      </c>
      <c r="E108" s="12">
        <v>46084</v>
      </c>
      <c r="F108" s="19"/>
      <c r="G108" s="15"/>
    </row>
    <row r="109" spans="1:7" ht="12.6" customHeight="1" x14ac:dyDescent="0.25">
      <c r="A109" s="8" t="s">
        <v>262</v>
      </c>
      <c r="B109" s="13" t="s">
        <v>260</v>
      </c>
      <c r="C109" s="8" t="s">
        <v>73</v>
      </c>
      <c r="D109" s="8" t="s">
        <v>74</v>
      </c>
      <c r="E109" s="12">
        <v>46097</v>
      </c>
      <c r="F109" s="19"/>
      <c r="G109" s="15"/>
    </row>
    <row r="110" spans="1:7" ht="12.6" customHeight="1" x14ac:dyDescent="0.25">
      <c r="A110" s="8" t="s">
        <v>263</v>
      </c>
      <c r="B110" s="13" t="s">
        <v>261</v>
      </c>
      <c r="C110" s="8" t="s">
        <v>15</v>
      </c>
      <c r="D110" s="8" t="s">
        <v>2</v>
      </c>
      <c r="E110" s="12">
        <v>46100</v>
      </c>
      <c r="F110"/>
    </row>
    <row r="111" spans="1:7" ht="12.6" customHeight="1" x14ac:dyDescent="0.25">
      <c r="A111" s="8" t="s">
        <v>274</v>
      </c>
      <c r="B111" s="13" t="s">
        <v>276</v>
      </c>
      <c r="C111" s="8" t="s">
        <v>15</v>
      </c>
      <c r="D111" s="8" t="s">
        <v>3</v>
      </c>
      <c r="E111" s="12">
        <v>45753</v>
      </c>
      <c r="F111" s="12">
        <v>45777</v>
      </c>
    </row>
    <row r="112" spans="1:7" ht="12.6" customHeight="1" x14ac:dyDescent="0.25">
      <c r="A112" s="8" t="s">
        <v>293</v>
      </c>
      <c r="B112" s="13" t="s">
        <v>284</v>
      </c>
      <c r="C112" s="8" t="s">
        <v>15</v>
      </c>
      <c r="D112" s="8" t="s">
        <v>2</v>
      </c>
      <c r="E112" s="12">
        <v>46154</v>
      </c>
      <c r="F112"/>
    </row>
    <row r="113" spans="1:6" ht="12.6" customHeight="1" x14ac:dyDescent="0.25">
      <c r="A113" s="8" t="s">
        <v>292</v>
      </c>
      <c r="B113" s="13" t="s">
        <v>285</v>
      </c>
      <c r="C113" s="8" t="s">
        <v>15</v>
      </c>
      <c r="D113" s="8" t="s">
        <v>2</v>
      </c>
      <c r="E113" s="12">
        <v>46154</v>
      </c>
      <c r="F113"/>
    </row>
    <row r="114" spans="1:6" ht="12.6" customHeight="1" x14ac:dyDescent="0.25">
      <c r="A114" s="8" t="s">
        <v>291</v>
      </c>
      <c r="B114" s="13" t="s">
        <v>286</v>
      </c>
      <c r="C114" s="8" t="s">
        <v>15</v>
      </c>
      <c r="D114" s="8" t="s">
        <v>2</v>
      </c>
      <c r="E114" s="12">
        <v>46154</v>
      </c>
      <c r="F114"/>
    </row>
    <row r="115" spans="1:6" ht="12.6" customHeight="1" x14ac:dyDescent="0.25">
      <c r="A115" s="8" t="s">
        <v>282</v>
      </c>
      <c r="B115" s="13" t="s">
        <v>287</v>
      </c>
      <c r="C115" s="8" t="s">
        <v>15</v>
      </c>
      <c r="D115" s="8" t="s">
        <v>3</v>
      </c>
      <c r="E115" s="12">
        <v>46167</v>
      </c>
      <c r="F115"/>
    </row>
    <row r="116" spans="1:6" ht="12.6" customHeight="1" x14ac:dyDescent="0.25">
      <c r="A116" s="8" t="s">
        <v>283</v>
      </c>
      <c r="B116" s="13" t="s">
        <v>288</v>
      </c>
      <c r="C116" s="8" t="s">
        <v>15</v>
      </c>
      <c r="D116" s="8" t="s">
        <v>3</v>
      </c>
      <c r="E116" s="12">
        <v>46170</v>
      </c>
      <c r="F116"/>
    </row>
    <row r="117" spans="1:6" ht="12.6" customHeight="1" x14ac:dyDescent="0.25">
      <c r="A117" s="8" t="s">
        <v>290</v>
      </c>
      <c r="B117" s="13" t="s">
        <v>289</v>
      </c>
      <c r="C117" s="8" t="s">
        <v>15</v>
      </c>
      <c r="D117" s="8" t="s">
        <v>3</v>
      </c>
      <c r="E117" s="12">
        <v>46173</v>
      </c>
      <c r="F117"/>
    </row>
    <row r="118" spans="1:6" ht="12.6" customHeight="1" x14ac:dyDescent="0.25">
      <c r="F118"/>
    </row>
  </sheetData>
  <autoFilter ref="A1:G117" xr:uid="{00000000-0001-0000-0100-000000000000}"/>
  <conditionalFormatting sqref="A88:A95 A1:A85 A105:A1048576">
    <cfRule type="duplicateValues" dxfId="9" priority="7"/>
  </conditionalFormatting>
  <conditionalFormatting sqref="B88:B95 B1:B84 B107:B1048576">
    <cfRule type="duplicateValues" dxfId="8" priority="10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A6A1-0CB5-43C2-ADC2-08A7938D4140}">
  <dimension ref="A1:H49"/>
  <sheetViews>
    <sheetView topLeftCell="A7" workbookViewId="0">
      <selection activeCell="G22" sqref="G22"/>
    </sheetView>
  </sheetViews>
  <sheetFormatPr defaultRowHeight="15" x14ac:dyDescent="0.25"/>
  <cols>
    <col min="7" max="7" width="23.42578125" customWidth="1"/>
    <col min="8" max="8" width="18" customWidth="1"/>
  </cols>
  <sheetData>
    <row r="1" spans="1:8" x14ac:dyDescent="0.25">
      <c r="G1" t="s">
        <v>281</v>
      </c>
    </row>
    <row r="2" spans="1:8" x14ac:dyDescent="0.25">
      <c r="A2" t="s">
        <v>20</v>
      </c>
      <c r="B2" t="str">
        <f>VLOOKUP(A2,PublicCloudResourceList!A:A,1,FALSE)</f>
        <v>Arepalli Gayathri</v>
      </c>
      <c r="G2" t="s">
        <v>107</v>
      </c>
      <c r="H2" t="str">
        <f>VLOOKUP(G2,PublicCloudResourceList!A:A,1,FALSE)</f>
        <v>Prem Prakash</v>
      </c>
    </row>
    <row r="3" spans="1:8" x14ac:dyDescent="0.25">
      <c r="A3" t="s">
        <v>218</v>
      </c>
      <c r="B3" t="str">
        <f>VLOOKUP(A3,PublicCloudResourceList!A:A,1,FALSE)</f>
        <v>Arvind Kumar Tiwari</v>
      </c>
      <c r="G3" t="s">
        <v>209</v>
      </c>
      <c r="H3" t="str">
        <f>VLOOKUP(G3,PublicCloudResourceList!A:A,1,FALSE)</f>
        <v>Chandana Charita Vaddadi</v>
      </c>
    </row>
    <row r="4" spans="1:8" x14ac:dyDescent="0.25">
      <c r="A4" t="s">
        <v>26</v>
      </c>
      <c r="B4" t="str">
        <f>VLOOKUP(A4,PublicCloudResourceList!A:A,1,FALSE)</f>
        <v>Busigari Surya Prasanth Reddy</v>
      </c>
      <c r="G4" t="s">
        <v>111</v>
      </c>
      <c r="H4" t="str">
        <f>VLOOKUP(G4,PublicCloudResourceList!A:A,1,FALSE)</f>
        <v>Radha Kanaka Ratnam Tetali</v>
      </c>
    </row>
    <row r="5" spans="1:8" x14ac:dyDescent="0.25">
      <c r="A5" t="s">
        <v>83</v>
      </c>
      <c r="B5" t="str">
        <f>VLOOKUP(A5,PublicCloudResourceList!A:A,1,FALSE)</f>
        <v>Ms. Chaytali Gajarmal</v>
      </c>
      <c r="G5" t="s">
        <v>277</v>
      </c>
      <c r="H5" t="str">
        <f>VLOOKUP(G5,PublicCloudResourceList!A:A,1,FALSE)</f>
        <v>DEEPA KESA</v>
      </c>
    </row>
    <row r="6" spans="1:8" x14ac:dyDescent="0.25">
      <c r="A6" t="s">
        <v>267</v>
      </c>
      <c r="B6" t="str">
        <f>VLOOKUP(A6,PublicCloudResourceList!A:A,1,FALSE)</f>
        <v>Prasanthi Gavini</v>
      </c>
      <c r="G6" t="s">
        <v>230</v>
      </c>
      <c r="H6" t="str">
        <f>VLOOKUP(G6,PublicCloudResourceList!A:A,1,FALSE)</f>
        <v>Sandeep Sree Ram</v>
      </c>
    </row>
    <row r="7" spans="1:8" x14ac:dyDescent="0.25">
      <c r="A7" t="s">
        <v>50</v>
      </c>
      <c r="B7" t="str">
        <f>VLOOKUP(A7,PublicCloudResourceList!A:A,1,FALSE)</f>
        <v>Hakeem Naseer Ahmed</v>
      </c>
      <c r="G7" t="s">
        <v>180</v>
      </c>
      <c r="H7" t="str">
        <f>VLOOKUP(G7,PublicCloudResourceList!A:A,1,FALSE)</f>
        <v>Sveta Satish Shenoy</v>
      </c>
    </row>
    <row r="8" spans="1:8" x14ac:dyDescent="0.25">
      <c r="A8" t="s">
        <v>45</v>
      </c>
      <c r="B8" t="str">
        <f>VLOOKUP(A8,PublicCloudResourceList!A:A,1,FALSE)</f>
        <v>Elango Chinnaiya</v>
      </c>
      <c r="G8" t="s">
        <v>127</v>
      </c>
      <c r="H8" t="str">
        <f>VLOOKUP(G8,PublicCloudResourceList!A:A,1,FALSE)</f>
        <v>Sridhar Achary Nagavelli</v>
      </c>
    </row>
    <row r="9" spans="1:8" x14ac:dyDescent="0.25">
      <c r="A9" t="s">
        <v>54</v>
      </c>
      <c r="B9" t="str">
        <f>VLOOKUP(A9,PublicCloudResourceList!A:A,1,FALSE)</f>
        <v>Hema Bharathi Janapaneni</v>
      </c>
      <c r="G9" t="s">
        <v>266</v>
      </c>
      <c r="H9" t="str">
        <f>VLOOKUP(G9,PublicCloudResourceList!A:A,1,FALSE)</f>
        <v>Rethvik Sai Doddapaneni</v>
      </c>
    </row>
    <row r="10" spans="1:8" x14ac:dyDescent="0.25">
      <c r="A10" t="s">
        <v>68</v>
      </c>
      <c r="B10" t="str">
        <f>VLOOKUP(A10,PublicCloudResourceList!A:A,1,FALSE)</f>
        <v>Keshava J R</v>
      </c>
      <c r="G10" t="s">
        <v>278</v>
      </c>
      <c r="H10" t="str">
        <f>VLOOKUP(G10,PublicCloudResourceList!A:A,1,FALSE)</f>
        <v>Goutham Reddy Katukuri</v>
      </c>
    </row>
    <row r="11" spans="1:8" x14ac:dyDescent="0.25">
      <c r="A11" t="s">
        <v>123</v>
      </c>
      <c r="B11" t="str">
        <f>VLOOKUP(A11,PublicCloudResourceList!A:A,1,FALSE)</f>
        <v>Siva Sagar Mavuduri</v>
      </c>
      <c r="G11" t="s">
        <v>235</v>
      </c>
      <c r="H11" t="str">
        <f>VLOOKUP(G11,PublicCloudResourceList!A:A,1,FALSE)</f>
        <v>Savitha Puttuluri</v>
      </c>
    </row>
    <row r="12" spans="1:8" x14ac:dyDescent="0.25">
      <c r="A12" t="s">
        <v>152</v>
      </c>
      <c r="B12" t="str">
        <f>VLOOKUP(A12,PublicCloudResourceList!A:A,1,FALSE)</f>
        <v>Vysyaraju Prudhviraju</v>
      </c>
      <c r="G12" t="s">
        <v>95</v>
      </c>
      <c r="H12" t="str">
        <f>VLOOKUP(G12,PublicCloudResourceList!A:A,1,FALSE)</f>
        <v>Neha Shridhar Gundkal</v>
      </c>
    </row>
    <row r="13" spans="1:8" x14ac:dyDescent="0.25">
      <c r="A13" t="s">
        <v>18</v>
      </c>
      <c r="B13" t="str">
        <f>VLOOKUP(A13,PublicCloudResourceList!A:A,1,FALSE)</f>
        <v>Anusha Kandhee</v>
      </c>
      <c r="G13" t="s">
        <v>85</v>
      </c>
      <c r="H13" t="str">
        <f>VLOOKUP(G13,PublicCloudResourceList!A:A,1,FALSE)</f>
        <v>Mubarak Amin Mujawar</v>
      </c>
    </row>
    <row r="14" spans="1:8" x14ac:dyDescent="0.25">
      <c r="A14" t="s">
        <v>215</v>
      </c>
      <c r="B14" t="str">
        <f>VLOOKUP(A14,PublicCloudResourceList!A:A,1,FALSE)</f>
        <v>Chaitanya Prabandham S</v>
      </c>
      <c r="G14" t="s">
        <v>142</v>
      </c>
      <c r="H14" t="str">
        <f>VLOOKUP(G14,PublicCloudResourceList!A:A,1,FALSE)</f>
        <v>Venkataramana Budisetti</v>
      </c>
    </row>
    <row r="15" spans="1:8" x14ac:dyDescent="0.25">
      <c r="A15" t="s">
        <v>219</v>
      </c>
      <c r="B15" t="str">
        <f>VLOOKUP(A15,PublicCloudResourceList!A:A,1,FALSE)</f>
        <v>Domala Karteek</v>
      </c>
      <c r="G15" t="s">
        <v>52</v>
      </c>
      <c r="H15" t="str">
        <f>VLOOKUP(G15,PublicCloudResourceList!A:A,1,FALSE)</f>
        <v>Hariharan K R</v>
      </c>
    </row>
    <row r="16" spans="1:8" x14ac:dyDescent="0.25">
      <c r="A16" t="s">
        <v>56</v>
      </c>
      <c r="B16" t="str">
        <f>VLOOKUP(A16,PublicCloudResourceList!A:A,1,FALSE)</f>
        <v>Jashva Sabbu</v>
      </c>
      <c r="G16" t="s">
        <v>166</v>
      </c>
      <c r="H16" t="str">
        <f>VLOOKUP(G16,PublicCloudResourceList!A:A,1,FALSE)</f>
        <v>Rani Gangishetti</v>
      </c>
    </row>
    <row r="17" spans="1:8" x14ac:dyDescent="0.25">
      <c r="A17" t="s">
        <v>113</v>
      </c>
      <c r="B17" t="str">
        <f>VLOOKUP(A17,PublicCloudResourceList!A:A,1,FALSE)</f>
        <v>Rajesh Boyapally</v>
      </c>
      <c r="G17" t="s">
        <v>234</v>
      </c>
      <c r="H17" t="str">
        <f>VLOOKUP(G17,PublicCloudResourceList!A:A,1,FALSE)</f>
        <v>Narendera Karnati</v>
      </c>
    </row>
    <row r="18" spans="1:8" x14ac:dyDescent="0.25">
      <c r="A18" t="s">
        <v>117</v>
      </c>
      <c r="B18" t="str">
        <f>VLOOKUP(A18,PublicCloudResourceList!A:A,1,FALSE)</f>
        <v>Ravali Patkur</v>
      </c>
      <c r="G18" t="s">
        <v>232</v>
      </c>
      <c r="H18" t="str">
        <f>VLOOKUP(G18,PublicCloudResourceList!A:A,1,FALSE)</f>
        <v>Surendra Vasireddy</v>
      </c>
    </row>
    <row r="19" spans="1:8" x14ac:dyDescent="0.25">
      <c r="A19" t="s">
        <v>270</v>
      </c>
      <c r="B19" t="str">
        <f>VLOOKUP(A19,PublicCloudResourceList!A:A,1,FALSE)</f>
        <v>PRANAY THIMMAIAHGARI</v>
      </c>
      <c r="G19" t="s">
        <v>251</v>
      </c>
      <c r="H19" t="str">
        <f>VLOOKUP(G19,PublicCloudResourceList!A:A,1,FALSE)</f>
        <v>Divya K</v>
      </c>
    </row>
    <row r="20" spans="1:8" x14ac:dyDescent="0.25">
      <c r="A20" t="s">
        <v>81</v>
      </c>
      <c r="B20" t="str">
        <f>VLOOKUP(A20,PublicCloudResourceList!A:A,1,FALSE)</f>
        <v>Mr. Vinit Naik</v>
      </c>
      <c r="G20" t="s">
        <v>146</v>
      </c>
      <c r="H20" t="str">
        <f>VLOOKUP(G20,PublicCloudResourceList!A:A,1,FALSE)</f>
        <v>Vignesh Ponraj</v>
      </c>
    </row>
    <row r="21" spans="1:8" x14ac:dyDescent="0.25">
      <c r="A21" t="s">
        <v>62</v>
      </c>
      <c r="B21" t="str">
        <f>VLOOKUP(A21,PublicCloudResourceList!A:A,1,FALSE)</f>
        <v>K Tharun Kumar</v>
      </c>
      <c r="G21" t="s">
        <v>233</v>
      </c>
      <c r="H21" t="str">
        <f>VLOOKUP(G21,PublicCloudResourceList!A:A,1,FALSE)</f>
        <v>Rakesh Shyamala</v>
      </c>
    </row>
    <row r="22" spans="1:8" x14ac:dyDescent="0.25">
      <c r="A22" t="s">
        <v>115</v>
      </c>
      <c r="B22" t="str">
        <f>VLOOKUP(A22,PublicCloudResourceList!A:A,1,FALSE)</f>
        <v>Ram Mohan Gudipadu</v>
      </c>
      <c r="G22" t="s">
        <v>279</v>
      </c>
      <c r="H22" t="e">
        <f>VLOOKUP(G22,PublicCloudResourceList!A:A,1,FALSE)</f>
        <v>#N/A</v>
      </c>
    </row>
    <row r="23" spans="1:8" x14ac:dyDescent="0.25">
      <c r="A23" t="s">
        <v>268</v>
      </c>
      <c r="B23" t="str">
        <f>VLOOKUP(A23,PublicCloudResourceList!A:A,1,FALSE)</f>
        <v>Suneel Kumar Komandla</v>
      </c>
      <c r="G23" t="s">
        <v>22</v>
      </c>
      <c r="H23" t="str">
        <f>VLOOKUP(G23,PublicCloudResourceList!A:A,1,FALSE)</f>
        <v>Ashish Mittal</v>
      </c>
    </row>
    <row r="24" spans="1:8" x14ac:dyDescent="0.25">
      <c r="A24" t="s">
        <v>135</v>
      </c>
      <c r="B24" t="str">
        <f>VLOOKUP(A24,PublicCloudResourceList!A:A,1,FALSE)</f>
        <v>Suresh Kumar Raajendiran</v>
      </c>
      <c r="G24" t="s">
        <v>263</v>
      </c>
      <c r="H24" t="str">
        <f>VLOOKUP(G24,PublicCloudResourceList!A:A,1,FALSE)</f>
        <v>Sathish Kumar</v>
      </c>
    </row>
    <row r="25" spans="1:8" x14ac:dyDescent="0.25">
      <c r="A25" t="s">
        <v>273</v>
      </c>
      <c r="B25" t="str">
        <f>VLOOKUP(A25,PublicCloudResourceList!A:A,1,FALSE)</f>
        <v>Tanuj Rama Krishnan V</v>
      </c>
      <c r="G25" t="s">
        <v>173</v>
      </c>
      <c r="H25" t="str">
        <f>VLOOKUP(G25,PublicCloudResourceList!A:A,1,FALSE)</f>
        <v>Vaishnavi Mudda</v>
      </c>
    </row>
    <row r="26" spans="1:8" x14ac:dyDescent="0.25">
      <c r="A26" t="s">
        <v>256</v>
      </c>
      <c r="B26" t="str">
        <f>VLOOKUP(A26,PublicCloudResourceList!A:A,1,FALSE)</f>
        <v>Sai Krishna Nallela</v>
      </c>
      <c r="G26" t="s">
        <v>87</v>
      </c>
      <c r="H26" t="str">
        <f>VLOOKUP(G26,PublicCloudResourceList!A:A,1,FALSE)</f>
        <v>Mukesh Kumar Manjhi</v>
      </c>
    </row>
    <row r="27" spans="1:8" x14ac:dyDescent="0.25">
      <c r="A27" t="s">
        <v>24</v>
      </c>
      <c r="B27" t="str">
        <f>VLOOKUP(A27,PublicCloudResourceList!A:A,1,FALSE)</f>
        <v>Balaji Rajendran</v>
      </c>
      <c r="G27" t="s">
        <v>175</v>
      </c>
      <c r="H27" t="str">
        <f>VLOOKUP(G27,PublicCloudResourceList!A:A,1,FALSE)</f>
        <v>Reshma Golla</v>
      </c>
    </row>
    <row r="28" spans="1:8" x14ac:dyDescent="0.25">
      <c r="A28" t="s">
        <v>38</v>
      </c>
      <c r="B28" t="str">
        <f>VLOOKUP(A28,PublicCloudResourceList!A:A,1,FALSE)</f>
        <v>Dilish Madduri</v>
      </c>
      <c r="G28" t="s">
        <v>171</v>
      </c>
      <c r="H28" t="str">
        <f>VLOOKUP(G28,PublicCloudResourceList!A:A,1,FALSE)</f>
        <v>Adi Jaya Lakshmi</v>
      </c>
    </row>
    <row r="29" spans="1:8" x14ac:dyDescent="0.25">
      <c r="A29" t="s">
        <v>58</v>
      </c>
      <c r="B29" t="str">
        <f>VLOOKUP(A29,PublicCloudResourceList!A:A,1,FALSE)</f>
        <v>Jawahar Jyoti Goswami</v>
      </c>
      <c r="G29" t="s">
        <v>217</v>
      </c>
      <c r="H29" t="str">
        <f>VLOOKUP(G29,PublicCloudResourceList!A:A,1,FALSE)</f>
        <v>Saiteja Reddy Gaddam</v>
      </c>
    </row>
    <row r="30" spans="1:8" x14ac:dyDescent="0.25">
      <c r="A30" t="s">
        <v>71</v>
      </c>
      <c r="B30" t="str">
        <f>VLOOKUP(A30,PublicCloudResourceList!A:A,1,FALSE)</f>
        <v>Manoj Kumar Karoju</v>
      </c>
      <c r="G30" t="s">
        <v>249</v>
      </c>
      <c r="H30" t="str">
        <f>VLOOKUP(G30,PublicCloudResourceList!A:A,1,FALSE)</f>
        <v>Mangali Venkatesham</v>
      </c>
    </row>
    <row r="31" spans="1:8" x14ac:dyDescent="0.25">
      <c r="A31" t="s">
        <v>121</v>
      </c>
      <c r="B31" t="str">
        <f>VLOOKUP(A31,PublicCloudResourceList!A:A,1,FALSE)</f>
        <v>Shashank Gupta</v>
      </c>
      <c r="G31" t="s">
        <v>246</v>
      </c>
      <c r="H31" t="str">
        <f>VLOOKUP(G31,PublicCloudResourceList!A:A,1,FALSE)</f>
        <v>Anusha Mulinti</v>
      </c>
    </row>
    <row r="32" spans="1:8" x14ac:dyDescent="0.25">
      <c r="A32" t="s">
        <v>125</v>
      </c>
      <c r="B32" t="str">
        <f>VLOOKUP(A32,PublicCloudResourceList!A:A,1,FALSE)</f>
        <v>Siva Sai Reddy Chilukala</v>
      </c>
      <c r="G32" t="s">
        <v>250</v>
      </c>
      <c r="H32" t="str">
        <f>VLOOKUP(G32,PublicCloudResourceList!A:A,1,FALSE)</f>
        <v>Adiseshaiah boddapati</v>
      </c>
    </row>
    <row r="33" spans="1:8" x14ac:dyDescent="0.25">
      <c r="A33" t="s">
        <v>210</v>
      </c>
      <c r="B33" t="str">
        <f>VLOOKUP(A33,PublicCloudResourceList!A:A,1,FALSE)</f>
        <v>Varsha Gruddanti</v>
      </c>
      <c r="G33" t="s">
        <v>97</v>
      </c>
      <c r="H33" t="str">
        <f>VLOOKUP(G33,PublicCloudResourceList!A:A,1,FALSE)</f>
        <v>Nikita Jain</v>
      </c>
    </row>
    <row r="34" spans="1:8" x14ac:dyDescent="0.25">
      <c r="A34" t="s">
        <v>89</v>
      </c>
      <c r="B34" t="str">
        <f>VLOOKUP(A34,PublicCloudResourceList!A:A,1,FALSE)</f>
        <v>Nandini AM</v>
      </c>
      <c r="G34" t="s">
        <v>216</v>
      </c>
      <c r="H34" t="str">
        <f>VLOOKUP(G34,PublicCloudResourceList!A:A,1,FALSE)</f>
        <v>Gouthami Basangari</v>
      </c>
    </row>
    <row r="35" spans="1:8" x14ac:dyDescent="0.25">
      <c r="A35" t="s">
        <v>169</v>
      </c>
      <c r="B35" t="str">
        <f>VLOOKUP(A35,PublicCloudResourceList!A:A,1,FALSE)</f>
        <v>Aravind Chintalapudi</v>
      </c>
      <c r="G35" t="s">
        <v>150</v>
      </c>
      <c r="H35" t="str">
        <f>VLOOKUP(G35,PublicCloudResourceList!A:A,1,FALSE)</f>
        <v>Vimit Vimit</v>
      </c>
    </row>
    <row r="36" spans="1:8" x14ac:dyDescent="0.25">
      <c r="A36" t="s">
        <v>36</v>
      </c>
      <c r="B36" t="str">
        <f>VLOOKUP(A36,PublicCloudResourceList!A:A,1,FALSE)</f>
        <v>Devaraj Maniyamghat Damodharan</v>
      </c>
      <c r="G36" t="s">
        <v>280</v>
      </c>
      <c r="H36" t="str">
        <f>VLOOKUP(G36,PublicCloudResourceList!A:A,1,FALSE)</f>
        <v>E Naga Sudha Rani</v>
      </c>
    </row>
    <row r="37" spans="1:8" x14ac:dyDescent="0.25">
      <c r="A37" t="s">
        <v>60</v>
      </c>
      <c r="B37" t="str">
        <f>VLOOKUP(A37,PublicCloudResourceList!A:A,1,FALSE)</f>
        <v>Jogiraju Sirisipalli</v>
      </c>
      <c r="G37" t="s">
        <v>245</v>
      </c>
      <c r="H37" t="str">
        <f>VLOOKUP(G37,PublicCloudResourceList!A:A,1,FALSE)</f>
        <v>Lakshmi Prasanna Angadi</v>
      </c>
    </row>
    <row r="38" spans="1:8" x14ac:dyDescent="0.25">
      <c r="A38" t="s">
        <v>64</v>
      </c>
      <c r="B38" t="str">
        <f>VLOOKUP(A38,PublicCloudResourceList!A:A,1,FALSE)</f>
        <v>Kapil Kumar Yadav</v>
      </c>
      <c r="G38" t="s">
        <v>229</v>
      </c>
      <c r="H38" t="str">
        <f>VLOOKUP(G38,PublicCloudResourceList!A:A,1,FALSE)</f>
        <v>Gowthami R</v>
      </c>
    </row>
    <row r="39" spans="1:8" x14ac:dyDescent="0.25">
      <c r="A39" t="s">
        <v>129</v>
      </c>
      <c r="B39" t="str">
        <f>VLOOKUP(A39,PublicCloudResourceList!A:A,1,FALSE)</f>
        <v>Srikanth Thirumalagiri</v>
      </c>
      <c r="G39" t="s">
        <v>243</v>
      </c>
      <c r="H39" t="str">
        <f>VLOOKUP(G39,PublicCloudResourceList!A:A,1,FALSE)</f>
        <v>Potham Rachana</v>
      </c>
    </row>
    <row r="40" spans="1:8" x14ac:dyDescent="0.25">
      <c r="A40" t="s">
        <v>244</v>
      </c>
      <c r="B40" t="str">
        <f>VLOOKUP(A40,PublicCloudResourceList!A:A,1,FALSE)</f>
        <v>Ravi Teja Malladi</v>
      </c>
      <c r="G40" t="s">
        <v>244</v>
      </c>
      <c r="H40" t="str">
        <f>VLOOKUP(G40,PublicCloudResourceList!A:A,1,FALSE)</f>
        <v>Ravi Teja Malladi</v>
      </c>
    </row>
    <row r="41" spans="1:8" x14ac:dyDescent="0.25">
      <c r="A41" t="s">
        <v>179</v>
      </c>
      <c r="B41" t="str">
        <f>VLOOKUP(A41,PublicCloudResourceList!A:A,1,FALSE)</f>
        <v>Gupta, Akhil</v>
      </c>
      <c r="G41" t="s">
        <v>148</v>
      </c>
      <c r="H41" t="str">
        <f>VLOOKUP(G41,PublicCloudResourceList!A:A,1,FALSE)</f>
        <v>Vikram Sanugula</v>
      </c>
    </row>
    <row r="42" spans="1:8" x14ac:dyDescent="0.25">
      <c r="A42" t="s">
        <v>274</v>
      </c>
      <c r="B42" t="str">
        <f>VLOOKUP(A42,PublicCloudResourceList!A:A,1,FALSE)</f>
        <v>Assath Mohammed</v>
      </c>
    </row>
    <row r="43" spans="1:8" x14ac:dyDescent="0.25">
      <c r="A43" t="s">
        <v>275</v>
      </c>
      <c r="B43" t="e">
        <f>VLOOKUP(A43,PublicCloudResourceList!A:A,1,FALSE)</f>
        <v>#N/A</v>
      </c>
    </row>
    <row r="44" spans="1:8" x14ac:dyDescent="0.25">
      <c r="A44" t="s">
        <v>103</v>
      </c>
      <c r="B44" t="str">
        <f>VLOOKUP(A44,PublicCloudResourceList!A:A,1,FALSE)</f>
        <v>Pranav Vinay Kunkerkar</v>
      </c>
    </row>
    <row r="45" spans="1:8" x14ac:dyDescent="0.25">
      <c r="A45" t="s">
        <v>41</v>
      </c>
      <c r="B45" t="str">
        <f>VLOOKUP(A45,PublicCloudResourceList!A:A,1,FALSE)</f>
        <v>Dokka SVS Swamy</v>
      </c>
    </row>
    <row r="46" spans="1:8" x14ac:dyDescent="0.25">
      <c r="A46" t="s">
        <v>28</v>
      </c>
      <c r="B46" t="str">
        <f>VLOOKUP(A46,PublicCloudResourceList!A:A,1,FALSE)</f>
        <v>C Kalyan Kumar</v>
      </c>
    </row>
    <row r="47" spans="1:8" x14ac:dyDescent="0.25">
      <c r="A47" t="s">
        <v>30</v>
      </c>
      <c r="B47" t="str">
        <f>VLOOKUP(A47,PublicCloudResourceList!A:A,1,FALSE)</f>
        <v>Chaitanya Latha Kolluru</v>
      </c>
    </row>
    <row r="48" spans="1:8" x14ac:dyDescent="0.25">
      <c r="A48" t="s">
        <v>93</v>
      </c>
      <c r="B48" t="str">
        <f>VLOOKUP(A48,PublicCloudResourceList!A:A,1,FALSE)</f>
        <v>Neeraj Singh Sisodia</v>
      </c>
    </row>
    <row r="49" spans="1:2" x14ac:dyDescent="0.25">
      <c r="A49" t="s">
        <v>269</v>
      </c>
      <c r="B49" t="str">
        <f>VLOOKUP(A49,PublicCloudResourceList!A:A,1,FALSE)</f>
        <v>Mr. Praveen Rayidi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6405-4E03-464C-B978-684865C4A31F}">
  <dimension ref="A1:G14"/>
  <sheetViews>
    <sheetView workbookViewId="0">
      <selection activeCell="A14" sqref="A14:XFD14"/>
    </sheetView>
  </sheetViews>
  <sheetFormatPr defaultRowHeight="15" x14ac:dyDescent="0.25"/>
  <sheetData>
    <row r="1" spans="1:7" ht="12.6" customHeight="1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10" t="s">
        <v>11</v>
      </c>
      <c r="G1" s="6" t="s">
        <v>12</v>
      </c>
    </row>
    <row r="2" spans="1:7" s="7" customFormat="1" ht="12.6" customHeight="1" x14ac:dyDescent="0.25">
      <c r="A2" s="4" t="s">
        <v>13</v>
      </c>
      <c r="B2" s="5" t="s">
        <v>14</v>
      </c>
      <c r="C2" s="8" t="s">
        <v>15</v>
      </c>
      <c r="D2" s="8" t="s">
        <v>2</v>
      </c>
      <c r="E2" s="12"/>
      <c r="F2" s="12">
        <v>45853</v>
      </c>
      <c r="G2" s="8" t="s">
        <v>16</v>
      </c>
    </row>
    <row r="3" spans="1:7" s="7" customFormat="1" ht="12.6" customHeight="1" x14ac:dyDescent="0.25">
      <c r="A3" s="4" t="s">
        <v>32</v>
      </c>
      <c r="B3" s="5" t="s">
        <v>33</v>
      </c>
      <c r="C3" s="8" t="s">
        <v>15</v>
      </c>
      <c r="D3" s="8" t="s">
        <v>3</v>
      </c>
      <c r="E3" s="12"/>
      <c r="F3" s="12">
        <v>46053</v>
      </c>
      <c r="G3" s="8"/>
    </row>
    <row r="4" spans="1:7" s="7" customFormat="1" ht="12.6" customHeight="1" x14ac:dyDescent="0.25">
      <c r="A4" s="4" t="s">
        <v>47</v>
      </c>
      <c r="B4" s="5" t="s">
        <v>48</v>
      </c>
      <c r="C4" s="8" t="s">
        <v>15</v>
      </c>
      <c r="D4" s="8" t="s">
        <v>2</v>
      </c>
      <c r="E4" s="12"/>
      <c r="F4" s="12">
        <v>46053</v>
      </c>
      <c r="G4" s="8"/>
    </row>
    <row r="5" spans="1:7" s="7" customFormat="1" ht="12.6" customHeight="1" x14ac:dyDescent="0.25">
      <c r="A5" s="4" t="s">
        <v>91</v>
      </c>
      <c r="B5" s="5" t="s">
        <v>92</v>
      </c>
      <c r="C5" s="8" t="s">
        <v>15</v>
      </c>
      <c r="D5" s="8" t="s">
        <v>3</v>
      </c>
      <c r="E5" s="12"/>
      <c r="F5" s="12">
        <v>46080</v>
      </c>
      <c r="G5" s="8"/>
    </row>
    <row r="6" spans="1:7" s="7" customFormat="1" ht="12.6" customHeight="1" x14ac:dyDescent="0.25">
      <c r="A6" s="4" t="s">
        <v>99</v>
      </c>
      <c r="B6" s="5" t="s">
        <v>100</v>
      </c>
      <c r="C6" s="8" t="s">
        <v>15</v>
      </c>
      <c r="D6" s="8" t="s">
        <v>3</v>
      </c>
      <c r="E6" s="12"/>
      <c r="F6" s="12">
        <v>46080</v>
      </c>
      <c r="G6" s="8"/>
    </row>
    <row r="7" spans="1:7" s="7" customFormat="1" ht="12.6" customHeight="1" x14ac:dyDescent="0.25">
      <c r="A7" s="4" t="s">
        <v>101</v>
      </c>
      <c r="B7" s="5" t="s">
        <v>102</v>
      </c>
      <c r="C7" s="8" t="s">
        <v>15</v>
      </c>
      <c r="D7" s="8" t="s">
        <v>2</v>
      </c>
      <c r="E7" s="12"/>
      <c r="F7" s="12">
        <v>46053</v>
      </c>
      <c r="G7" s="8"/>
    </row>
    <row r="8" spans="1:7" s="7" customFormat="1" ht="12.6" customHeight="1" x14ac:dyDescent="0.25">
      <c r="A8" s="4" t="s">
        <v>109</v>
      </c>
      <c r="B8" s="5" t="s">
        <v>110</v>
      </c>
      <c r="C8" s="8" t="s">
        <v>15</v>
      </c>
      <c r="D8" s="8" t="s">
        <v>3</v>
      </c>
      <c r="E8" s="12"/>
      <c r="F8" s="12">
        <v>46030</v>
      </c>
      <c r="G8" s="8"/>
    </row>
    <row r="9" spans="1:7" s="7" customFormat="1" ht="12.6" customHeight="1" x14ac:dyDescent="0.25">
      <c r="A9" s="4" t="s">
        <v>119</v>
      </c>
      <c r="B9" s="5" t="s">
        <v>120</v>
      </c>
      <c r="C9" s="8" t="s">
        <v>15</v>
      </c>
      <c r="D9" s="8" t="s">
        <v>2</v>
      </c>
      <c r="E9" s="12"/>
      <c r="F9" s="12">
        <v>46053</v>
      </c>
      <c r="G9" s="8"/>
    </row>
    <row r="10" spans="1:7" s="7" customFormat="1" ht="12.6" customHeight="1" x14ac:dyDescent="0.25">
      <c r="A10" s="4" t="s">
        <v>131</v>
      </c>
      <c r="B10" s="5" t="s">
        <v>132</v>
      </c>
      <c r="C10" s="8" t="s">
        <v>15</v>
      </c>
      <c r="D10" s="8" t="s">
        <v>3</v>
      </c>
      <c r="E10" s="12"/>
      <c r="F10" s="12">
        <v>46073</v>
      </c>
    </row>
    <row r="11" spans="1:7" s="7" customFormat="1" ht="12.6" customHeight="1" x14ac:dyDescent="0.25">
      <c r="A11" s="4" t="s">
        <v>133</v>
      </c>
      <c r="B11" s="5" t="s">
        <v>134</v>
      </c>
      <c r="C11" s="8" t="s">
        <v>15</v>
      </c>
      <c r="D11" s="8" t="s">
        <v>2</v>
      </c>
      <c r="E11" s="12"/>
      <c r="F11" s="12">
        <v>46069</v>
      </c>
      <c r="G11" s="8"/>
    </row>
    <row r="12" spans="1:7" s="7" customFormat="1" ht="12.6" customHeight="1" x14ac:dyDescent="0.25">
      <c r="A12" s="4" t="s">
        <v>140</v>
      </c>
      <c r="B12" s="5" t="s">
        <v>141</v>
      </c>
      <c r="C12" s="8" t="s">
        <v>15</v>
      </c>
      <c r="D12" s="8" t="s">
        <v>3</v>
      </c>
      <c r="E12" s="12"/>
      <c r="F12" s="12">
        <v>46053</v>
      </c>
      <c r="G12" s="8"/>
    </row>
    <row r="13" spans="1:7" s="7" customFormat="1" ht="12.6" customHeight="1" x14ac:dyDescent="0.25">
      <c r="A13" s="4" t="s">
        <v>66</v>
      </c>
      <c r="B13" s="5" t="s">
        <v>67</v>
      </c>
      <c r="C13" s="8" t="s">
        <v>15</v>
      </c>
      <c r="D13" s="8" t="s">
        <v>3</v>
      </c>
      <c r="E13" s="12"/>
      <c r="F13" s="12">
        <v>46112</v>
      </c>
      <c r="G13" s="8"/>
    </row>
    <row r="14" spans="1:7" s="7" customFormat="1" ht="12.6" customHeight="1" x14ac:dyDescent="0.25">
      <c r="A14" s="4" t="s">
        <v>105</v>
      </c>
      <c r="B14" s="5" t="s">
        <v>106</v>
      </c>
      <c r="C14" s="8" t="s">
        <v>15</v>
      </c>
      <c r="D14" s="8" t="s">
        <v>3</v>
      </c>
      <c r="E14" s="12"/>
      <c r="F14" s="12">
        <v>46091</v>
      </c>
      <c r="G14" s="8"/>
    </row>
  </sheetData>
  <conditionalFormatting sqref="A1">
    <cfRule type="duplicateValues" dxfId="7" priority="7"/>
  </conditionalFormatting>
  <conditionalFormatting sqref="A2:A12">
    <cfRule type="duplicateValues" dxfId="6" priority="5"/>
  </conditionalFormatting>
  <conditionalFormatting sqref="A13">
    <cfRule type="duplicateValues" dxfId="5" priority="3"/>
  </conditionalFormatting>
  <conditionalFormatting sqref="A14">
    <cfRule type="duplicateValues" dxfId="4" priority="1"/>
  </conditionalFormatting>
  <conditionalFormatting sqref="B1">
    <cfRule type="duplicateValues" dxfId="3" priority="8"/>
  </conditionalFormatting>
  <conditionalFormatting sqref="B2:B12">
    <cfRule type="duplicateValues" dxfId="2" priority="6"/>
  </conditionalFormatting>
  <conditionalFormatting sqref="B13">
    <cfRule type="duplicateValues" dxfId="1" priority="4"/>
  </conditionalFormatting>
  <conditionalFormatting sqref="B1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PublicCloudResourceList</vt:lpstr>
      <vt:lpstr>Sheet2</vt:lpstr>
      <vt:lpstr>Deleted List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Venu Madhav Reddy Chilukala</dc:creator>
  <cp:keywords/>
  <dc:description/>
  <cp:lastModifiedBy>Vimit Vimit</cp:lastModifiedBy>
  <cp:revision/>
  <dcterms:created xsi:type="dcterms:W3CDTF">2024-05-21T17:57:39Z</dcterms:created>
  <dcterms:modified xsi:type="dcterms:W3CDTF">2026-06-15T13:52:09Z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2026-01-20T07:44:06Z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e97217f2-1fd5-44bd-a53f-13852879d09f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